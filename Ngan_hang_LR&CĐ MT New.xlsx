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3BBDB3-3534-4A87-8AC8-B13A56826A32}" xr6:coauthVersionLast="47" xr6:coauthVersionMax="47" xr10:uidLastSave="{00000000-0000-0000-0000-000000000000}"/>
  <bookViews>
    <workbookView xWindow="20370" yWindow="-120" windowWidth="20730" windowHeight="11040" activeTab="2" xr2:uid="{00000000-000D-0000-FFFF-FFFF00000000}"/>
  </bookViews>
  <sheets>
    <sheet name="Ngan_hang_cau_hoi" sheetId="1" r:id="rId1"/>
    <sheet name="form W" sheetId="2" r:id="rId2"/>
    <sheet name="CLC" sheetId="5" r:id="rId3"/>
    <sheet name="thường" sheetId="3" r:id="rId4"/>
  </sheets>
  <definedNames>
    <definedName name="_xlnm._FilterDatabase" localSheetId="0" hidden="1">Ngan_hang_cau_hoi!$C$1:$K$121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F383" i="2"/>
  <c r="F384" i="2"/>
  <c r="F385" i="2"/>
  <c r="F386" i="2"/>
  <c r="F388" i="2"/>
  <c r="F389" i="2"/>
  <c r="F390" i="2"/>
  <c r="F391" i="2"/>
  <c r="F393" i="2"/>
  <c r="F394" i="2"/>
  <c r="F395" i="2"/>
  <c r="F396" i="2"/>
  <c r="F398" i="2"/>
  <c r="F399" i="2"/>
  <c r="F400" i="2"/>
  <c r="F401" i="2"/>
  <c r="F403" i="2"/>
  <c r="F404" i="2"/>
  <c r="F405" i="2"/>
  <c r="F406" i="2"/>
  <c r="F408" i="2"/>
  <c r="F409" i="2"/>
  <c r="F410" i="2"/>
  <c r="F411" i="2"/>
  <c r="F413" i="2"/>
  <c r="F414" i="2"/>
  <c r="F415" i="2"/>
  <c r="F416" i="2"/>
  <c r="F418" i="2"/>
  <c r="F419" i="2"/>
  <c r="F420" i="2"/>
  <c r="F421" i="2"/>
  <c r="F423" i="2"/>
  <c r="F424" i="2"/>
  <c r="F425" i="2"/>
  <c r="F426" i="2"/>
  <c r="F428" i="2"/>
  <c r="F429" i="2"/>
  <c r="F430" i="2"/>
  <c r="F431" i="2"/>
  <c r="F433" i="2"/>
  <c r="F434" i="2"/>
  <c r="F435" i="2"/>
  <c r="F436" i="2"/>
  <c r="F438" i="2"/>
  <c r="F439" i="2"/>
  <c r="F440" i="2"/>
  <c r="F441" i="2"/>
  <c r="F443" i="2"/>
  <c r="F444" i="2"/>
  <c r="F445" i="2"/>
  <c r="F446" i="2"/>
  <c r="F448" i="2"/>
  <c r="F449" i="2"/>
  <c r="F450" i="2"/>
  <c r="F451" i="2"/>
  <c r="F453" i="2"/>
  <c r="F454" i="2"/>
  <c r="F455" i="2"/>
  <c r="F456" i="2"/>
  <c r="F458" i="2"/>
  <c r="F459" i="2"/>
  <c r="F460" i="2"/>
  <c r="F461" i="2"/>
  <c r="F463" i="2"/>
  <c r="F464" i="2"/>
  <c r="F465" i="2"/>
  <c r="F466" i="2"/>
  <c r="F468" i="2"/>
  <c r="F469" i="2"/>
  <c r="F470" i="2"/>
  <c r="F471" i="2"/>
  <c r="F473" i="2"/>
  <c r="F474" i="2"/>
  <c r="F475" i="2"/>
  <c r="F476" i="2"/>
  <c r="F478" i="2"/>
  <c r="F479" i="2"/>
  <c r="F480" i="2"/>
  <c r="F481" i="2"/>
  <c r="F483" i="2"/>
  <c r="F484" i="2"/>
  <c r="F485" i="2"/>
  <c r="F486" i="2"/>
  <c r="F488" i="2"/>
  <c r="F489" i="2"/>
  <c r="F490" i="2"/>
  <c r="F491" i="2"/>
  <c r="F493" i="2"/>
  <c r="F494" i="2"/>
  <c r="F495" i="2"/>
  <c r="F496" i="2"/>
  <c r="F498" i="2"/>
  <c r="F499" i="2"/>
  <c r="F500" i="2"/>
  <c r="F501" i="2"/>
  <c r="F503" i="2"/>
  <c r="F504" i="2"/>
  <c r="F505" i="2"/>
  <c r="F506" i="2"/>
  <c r="F508" i="2"/>
  <c r="F509" i="2"/>
  <c r="F510" i="2"/>
  <c r="F511" i="2"/>
  <c r="F513" i="2"/>
  <c r="F514" i="2"/>
  <c r="F515" i="2"/>
  <c r="F516" i="2"/>
  <c r="F518" i="2"/>
  <c r="F519" i="2"/>
  <c r="F520" i="2"/>
  <c r="F521" i="2"/>
  <c r="F523" i="2"/>
  <c r="F524" i="2"/>
  <c r="F525" i="2"/>
  <c r="F526" i="2"/>
  <c r="F528" i="2"/>
  <c r="F529" i="2"/>
  <c r="F530" i="2"/>
  <c r="F531" i="2"/>
  <c r="F533" i="2"/>
  <c r="F534" i="2"/>
  <c r="F535" i="2"/>
  <c r="F536" i="2"/>
  <c r="F538" i="2"/>
  <c r="F539" i="2"/>
  <c r="F540" i="2"/>
  <c r="F541" i="2"/>
  <c r="F543" i="2"/>
  <c r="F544" i="2"/>
  <c r="F545" i="2"/>
  <c r="F546" i="2"/>
  <c r="F548" i="2"/>
  <c r="F549" i="2"/>
  <c r="F550" i="2"/>
  <c r="F551" i="2"/>
  <c r="F553" i="2"/>
  <c r="F554" i="2"/>
  <c r="F555" i="2"/>
  <c r="F556" i="2"/>
  <c r="F558" i="2"/>
  <c r="F559" i="2"/>
  <c r="F560" i="2"/>
  <c r="F561" i="2"/>
  <c r="F563" i="2"/>
  <c r="F564" i="2"/>
  <c r="F565" i="2"/>
  <c r="F566" i="2"/>
  <c r="F568" i="2"/>
  <c r="F569" i="2"/>
  <c r="F570" i="2"/>
  <c r="F571" i="2"/>
  <c r="F573" i="2"/>
  <c r="F574" i="2"/>
  <c r="F575" i="2"/>
  <c r="F576" i="2"/>
  <c r="F578" i="2"/>
  <c r="F579" i="2"/>
  <c r="F580" i="2"/>
  <c r="F581" i="2"/>
  <c r="F583" i="2"/>
  <c r="F584" i="2"/>
  <c r="F585" i="2"/>
  <c r="F586" i="2"/>
  <c r="F588" i="2"/>
  <c r="F589" i="2"/>
  <c r="F590" i="2"/>
  <c r="F591" i="2"/>
  <c r="F593" i="2"/>
  <c r="F594" i="2"/>
  <c r="F595" i="2"/>
  <c r="F596" i="2"/>
  <c r="F598" i="2"/>
  <c r="F599" i="2"/>
  <c r="F600" i="2"/>
  <c r="F601" i="2"/>
  <c r="F238" i="2"/>
  <c r="F239" i="2"/>
  <c r="F240" i="2"/>
  <c r="F241" i="2"/>
  <c r="F243" i="2"/>
  <c r="F244" i="2"/>
  <c r="F245" i="2"/>
  <c r="F246" i="2"/>
  <c r="F248" i="2"/>
  <c r="F249" i="2"/>
  <c r="F250" i="2"/>
  <c r="F251" i="2"/>
  <c r="F253" i="2"/>
  <c r="F254" i="2"/>
  <c r="F255" i="2"/>
  <c r="F256" i="2"/>
  <c r="F258" i="2"/>
  <c r="F259" i="2"/>
  <c r="F260" i="2"/>
  <c r="F261" i="2"/>
  <c r="F263" i="2"/>
  <c r="F264" i="2"/>
  <c r="F265" i="2"/>
  <c r="F266" i="2"/>
  <c r="F268" i="2"/>
  <c r="F269" i="2"/>
  <c r="F270" i="2"/>
  <c r="F271" i="2"/>
  <c r="F273" i="2"/>
  <c r="F274" i="2"/>
  <c r="F275" i="2"/>
  <c r="F276" i="2"/>
  <c r="F278" i="2"/>
  <c r="F279" i="2"/>
  <c r="F280" i="2"/>
  <c r="F281" i="2"/>
  <c r="F283" i="2"/>
  <c r="F284" i="2"/>
  <c r="F285" i="2"/>
  <c r="F286" i="2"/>
  <c r="F288" i="2"/>
  <c r="F289" i="2"/>
  <c r="F290" i="2"/>
  <c r="F291" i="2"/>
  <c r="F293" i="2"/>
  <c r="F294" i="2"/>
  <c r="F295" i="2"/>
  <c r="F296" i="2"/>
  <c r="F298" i="2"/>
  <c r="F299" i="2"/>
  <c r="F300" i="2"/>
  <c r="F301" i="2"/>
  <c r="F303" i="2"/>
  <c r="F304" i="2"/>
  <c r="F305" i="2"/>
  <c r="F306" i="2"/>
  <c r="F308" i="2"/>
  <c r="F309" i="2"/>
  <c r="F310" i="2"/>
  <c r="F311" i="2"/>
  <c r="F313" i="2"/>
  <c r="F314" i="2"/>
  <c r="F315" i="2"/>
  <c r="F316" i="2"/>
  <c r="F318" i="2"/>
  <c r="F319" i="2"/>
  <c r="F320" i="2"/>
  <c r="F321" i="2"/>
  <c r="F323" i="2"/>
  <c r="F324" i="2"/>
  <c r="F325" i="2"/>
  <c r="F326" i="2"/>
  <c r="F328" i="2"/>
  <c r="F329" i="2"/>
  <c r="F330" i="2"/>
  <c r="F331" i="2"/>
  <c r="F333" i="2"/>
  <c r="F334" i="2"/>
  <c r="F335" i="2"/>
  <c r="F336" i="2"/>
  <c r="F338" i="2"/>
  <c r="F339" i="2"/>
  <c r="F340" i="2"/>
  <c r="F341" i="2"/>
  <c r="F343" i="2"/>
  <c r="F344" i="2"/>
  <c r="F345" i="2"/>
  <c r="F346" i="2"/>
  <c r="F348" i="2"/>
  <c r="F349" i="2"/>
  <c r="F350" i="2"/>
  <c r="F351" i="2"/>
  <c r="F353" i="2"/>
  <c r="F354" i="2"/>
  <c r="F355" i="2"/>
  <c r="F356" i="2"/>
  <c r="F358" i="2"/>
  <c r="F359" i="2"/>
  <c r="F360" i="2"/>
  <c r="F361" i="2"/>
  <c r="F363" i="2"/>
  <c r="F364" i="2"/>
  <c r="F365" i="2"/>
  <c r="F366" i="2"/>
  <c r="F368" i="2"/>
  <c r="F369" i="2"/>
  <c r="F370" i="2"/>
  <c r="F371" i="2"/>
  <c r="F373" i="2"/>
  <c r="F374" i="2"/>
  <c r="F375" i="2"/>
  <c r="F376" i="2"/>
  <c r="F378" i="2"/>
  <c r="F379" i="2"/>
  <c r="F380" i="2"/>
  <c r="F381" i="2"/>
  <c r="F188" i="2"/>
  <c r="F189" i="2"/>
  <c r="F190" i="2"/>
  <c r="F191" i="2"/>
  <c r="F193" i="2"/>
  <c r="F194" i="2"/>
  <c r="F195" i="2"/>
  <c r="F196" i="2"/>
  <c r="F198" i="2"/>
  <c r="F199" i="2"/>
  <c r="F200" i="2"/>
  <c r="F201" i="2"/>
  <c r="F203" i="2"/>
  <c r="F204" i="2"/>
  <c r="F205" i="2"/>
  <c r="F206" i="2"/>
  <c r="F208" i="2"/>
  <c r="F209" i="2"/>
  <c r="F210" i="2"/>
  <c r="F211" i="2"/>
  <c r="F213" i="2"/>
  <c r="F214" i="2"/>
  <c r="F215" i="2"/>
  <c r="F216" i="2"/>
  <c r="F218" i="2"/>
  <c r="F219" i="2"/>
  <c r="F220" i="2"/>
  <c r="F221" i="2"/>
  <c r="F223" i="2"/>
  <c r="F224" i="2"/>
  <c r="F225" i="2"/>
  <c r="F226" i="2"/>
  <c r="F228" i="2"/>
  <c r="F229" i="2"/>
  <c r="F230" i="2"/>
  <c r="F231" i="2"/>
  <c r="F233" i="2"/>
  <c r="F234" i="2"/>
  <c r="F235" i="2"/>
  <c r="F236" i="2"/>
  <c r="F183" i="2"/>
  <c r="F184" i="2"/>
  <c r="F185" i="2"/>
  <c r="F186" i="2"/>
  <c r="G2" i="2"/>
  <c r="D438" i="2"/>
  <c r="C438" i="2" s="1"/>
  <c r="D439" i="2"/>
  <c r="B439" i="2" s="1"/>
  <c r="D440" i="2"/>
  <c r="B440" i="2" s="1"/>
  <c r="D441" i="2"/>
  <c r="B441" i="2" s="1"/>
  <c r="D442" i="2"/>
  <c r="C442" i="2" s="1"/>
  <c r="D443" i="2"/>
  <c r="C443" i="2" s="1"/>
  <c r="D444" i="2"/>
  <c r="B444" i="2" s="1"/>
  <c r="D445" i="2"/>
  <c r="B445" i="2" s="1"/>
  <c r="D446" i="2"/>
  <c r="B446" i="2" s="1"/>
  <c r="D447" i="2"/>
  <c r="B447" i="2" s="1"/>
  <c r="D448" i="2"/>
  <c r="B448" i="2" s="1"/>
  <c r="D449" i="2"/>
  <c r="B449" i="2" s="1"/>
  <c r="D450" i="2"/>
  <c r="C450" i="2" s="1"/>
  <c r="D451" i="2"/>
  <c r="C451" i="2" s="1"/>
  <c r="D452" i="2"/>
  <c r="B452" i="2" s="1"/>
  <c r="D453" i="2"/>
  <c r="B453" i="2" s="1"/>
  <c r="D454" i="2"/>
  <c r="B454" i="2" s="1"/>
  <c r="D455" i="2"/>
  <c r="B455" i="2" s="1"/>
  <c r="D456" i="2"/>
  <c r="B456" i="2" s="1"/>
  <c r="D457" i="2"/>
  <c r="B457" i="2" s="1"/>
  <c r="D458" i="2"/>
  <c r="C458" i="2" s="1"/>
  <c r="D459" i="2"/>
  <c r="C459" i="2" s="1"/>
  <c r="D460" i="2"/>
  <c r="B460" i="2" s="1"/>
  <c r="D461" i="2"/>
  <c r="B461" i="2" s="1"/>
  <c r="D462" i="2"/>
  <c r="B462" i="2" s="1"/>
  <c r="D463" i="2"/>
  <c r="B463" i="2" s="1"/>
  <c r="D464" i="2"/>
  <c r="B464" i="2" s="1"/>
  <c r="D465" i="2"/>
  <c r="B465" i="2" s="1"/>
  <c r="D466" i="2"/>
  <c r="C466" i="2" s="1"/>
  <c r="D467" i="2"/>
  <c r="C467" i="2" s="1"/>
  <c r="D468" i="2"/>
  <c r="B468" i="2" s="1"/>
  <c r="D469" i="2"/>
  <c r="B469" i="2" s="1"/>
  <c r="D470" i="2"/>
  <c r="B470" i="2" s="1"/>
  <c r="D471" i="2"/>
  <c r="B471" i="2" s="1"/>
  <c r="D472" i="2"/>
  <c r="B472" i="2" s="1"/>
  <c r="D473" i="2"/>
  <c r="B473" i="2" s="1"/>
  <c r="D474" i="2"/>
  <c r="C474" i="2" s="1"/>
  <c r="D475" i="2"/>
  <c r="C475" i="2" s="1"/>
  <c r="D476" i="2"/>
  <c r="B476" i="2" s="1"/>
  <c r="D477" i="2"/>
  <c r="B477" i="2" s="1"/>
  <c r="D478" i="2"/>
  <c r="B478" i="2" s="1"/>
  <c r="D479" i="2"/>
  <c r="B479" i="2" s="1"/>
  <c r="D480" i="2"/>
  <c r="B480" i="2" s="1"/>
  <c r="D481" i="2"/>
  <c r="B481" i="2" s="1"/>
  <c r="D482" i="2"/>
  <c r="C482" i="2" s="1"/>
  <c r="D483" i="2"/>
  <c r="C483" i="2" s="1"/>
  <c r="D484" i="2"/>
  <c r="B484" i="2" s="1"/>
  <c r="D485" i="2"/>
  <c r="B485" i="2" s="1"/>
  <c r="D486" i="2"/>
  <c r="B486" i="2" s="1"/>
  <c r="D487" i="2"/>
  <c r="B487" i="2" s="1"/>
  <c r="D488" i="2"/>
  <c r="B488" i="2" s="1"/>
  <c r="D489" i="2"/>
  <c r="B489" i="2" s="1"/>
  <c r="D490" i="2"/>
  <c r="C490" i="2" s="1"/>
  <c r="D491" i="2"/>
  <c r="C491" i="2" s="1"/>
  <c r="D492" i="2"/>
  <c r="B492" i="2" s="1"/>
  <c r="D493" i="2"/>
  <c r="B493" i="2" s="1"/>
  <c r="D494" i="2"/>
  <c r="B494" i="2" s="1"/>
  <c r="D495" i="2"/>
  <c r="B495" i="2" s="1"/>
  <c r="D496" i="2"/>
  <c r="B496" i="2" s="1"/>
  <c r="D497" i="2"/>
  <c r="B497" i="2" s="1"/>
  <c r="D498" i="2"/>
  <c r="C498" i="2" s="1"/>
  <c r="D499" i="2"/>
  <c r="C499" i="2" s="1"/>
  <c r="D500" i="2"/>
  <c r="B500" i="2" s="1"/>
  <c r="D501" i="2"/>
  <c r="B501" i="2" s="1"/>
  <c r="D502" i="2"/>
  <c r="B502" i="2" s="1"/>
  <c r="D503" i="2"/>
  <c r="B503" i="2" s="1"/>
  <c r="D504" i="2"/>
  <c r="B504" i="2" s="1"/>
  <c r="D505" i="2"/>
  <c r="B505" i="2" s="1"/>
  <c r="D506" i="2"/>
  <c r="C506" i="2" s="1"/>
  <c r="D507" i="2"/>
  <c r="C507" i="2" s="1"/>
  <c r="D508" i="2"/>
  <c r="B508" i="2" s="1"/>
  <c r="D509" i="2"/>
  <c r="B509" i="2" s="1"/>
  <c r="D510" i="2"/>
  <c r="B510" i="2" s="1"/>
  <c r="D511" i="2"/>
  <c r="B511" i="2" s="1"/>
  <c r="D512" i="2"/>
  <c r="B512" i="2" s="1"/>
  <c r="D513" i="2"/>
  <c r="B513" i="2" s="1"/>
  <c r="D514" i="2"/>
  <c r="C514" i="2" s="1"/>
  <c r="D515" i="2"/>
  <c r="C515" i="2" s="1"/>
  <c r="D516" i="2"/>
  <c r="B516" i="2" s="1"/>
  <c r="D517" i="2"/>
  <c r="B517" i="2" s="1"/>
  <c r="D518" i="2"/>
  <c r="B518" i="2" s="1"/>
  <c r="D519" i="2"/>
  <c r="B519" i="2" s="1"/>
  <c r="D520" i="2"/>
  <c r="B520" i="2" s="1"/>
  <c r="D521" i="2"/>
  <c r="B521" i="2" s="1"/>
  <c r="D522" i="2"/>
  <c r="C522" i="2" s="1"/>
  <c r="D523" i="2"/>
  <c r="C523" i="2" s="1"/>
  <c r="D524" i="2"/>
  <c r="B524" i="2" s="1"/>
  <c r="D525" i="2"/>
  <c r="B525" i="2" s="1"/>
  <c r="D526" i="2"/>
  <c r="B526" i="2" s="1"/>
  <c r="D527" i="2"/>
  <c r="B527" i="2" s="1"/>
  <c r="D528" i="2"/>
  <c r="B528" i="2" s="1"/>
  <c r="D529" i="2"/>
  <c r="B529" i="2" s="1"/>
  <c r="D530" i="2"/>
  <c r="C530" i="2" s="1"/>
  <c r="D531" i="2"/>
  <c r="C531" i="2" s="1"/>
  <c r="D532" i="2"/>
  <c r="B532" i="2" s="1"/>
  <c r="D533" i="2"/>
  <c r="B533" i="2" s="1"/>
  <c r="D534" i="2"/>
  <c r="B534" i="2" s="1"/>
  <c r="D535" i="2"/>
  <c r="B535" i="2" s="1"/>
  <c r="D536" i="2"/>
  <c r="B536" i="2" s="1"/>
  <c r="D537" i="2"/>
  <c r="B537" i="2" s="1"/>
  <c r="D538" i="2"/>
  <c r="C538" i="2" s="1"/>
  <c r="D539" i="2"/>
  <c r="C539" i="2" s="1"/>
  <c r="D540" i="2"/>
  <c r="B540" i="2" s="1"/>
  <c r="D541" i="2"/>
  <c r="B541" i="2" s="1"/>
  <c r="D542" i="2"/>
  <c r="B542" i="2" s="1"/>
  <c r="D543" i="2"/>
  <c r="B543" i="2" s="1"/>
  <c r="D544" i="2"/>
  <c r="B544" i="2" s="1"/>
  <c r="D545" i="2"/>
  <c r="B545" i="2" s="1"/>
  <c r="D546" i="2"/>
  <c r="C546" i="2" s="1"/>
  <c r="D547" i="2"/>
  <c r="C547" i="2" s="1"/>
  <c r="D548" i="2"/>
  <c r="B548" i="2" s="1"/>
  <c r="D549" i="2"/>
  <c r="B549" i="2" s="1"/>
  <c r="D550" i="2"/>
  <c r="B550" i="2" s="1"/>
  <c r="D551" i="2"/>
  <c r="B551" i="2" s="1"/>
  <c r="D552" i="2"/>
  <c r="B552" i="2" s="1"/>
  <c r="D553" i="2"/>
  <c r="B553" i="2" s="1"/>
  <c r="D554" i="2"/>
  <c r="C554" i="2" s="1"/>
  <c r="D555" i="2"/>
  <c r="C555" i="2" s="1"/>
  <c r="D556" i="2"/>
  <c r="B556" i="2" s="1"/>
  <c r="D557" i="2"/>
  <c r="B557" i="2" s="1"/>
  <c r="D558" i="2"/>
  <c r="B558" i="2" s="1"/>
  <c r="D559" i="2"/>
  <c r="B559" i="2" s="1"/>
  <c r="D560" i="2"/>
  <c r="B560" i="2" s="1"/>
  <c r="D561" i="2"/>
  <c r="B561" i="2" s="1"/>
  <c r="D562" i="2"/>
  <c r="C562" i="2" s="1"/>
  <c r="D563" i="2"/>
  <c r="C563" i="2" s="1"/>
  <c r="D564" i="2"/>
  <c r="B564" i="2" s="1"/>
  <c r="D565" i="2"/>
  <c r="B565" i="2" s="1"/>
  <c r="D566" i="2"/>
  <c r="B566" i="2" s="1"/>
  <c r="D567" i="2"/>
  <c r="B567" i="2" s="1"/>
  <c r="D568" i="2"/>
  <c r="B568" i="2" s="1"/>
  <c r="D569" i="2"/>
  <c r="B569" i="2" s="1"/>
  <c r="D570" i="2"/>
  <c r="C570" i="2" s="1"/>
  <c r="D571" i="2"/>
  <c r="C571" i="2" s="1"/>
  <c r="D572" i="2"/>
  <c r="B572" i="2" s="1"/>
  <c r="D573" i="2"/>
  <c r="B573" i="2" s="1"/>
  <c r="D574" i="2"/>
  <c r="B574" i="2" s="1"/>
  <c r="D575" i="2"/>
  <c r="B575" i="2" s="1"/>
  <c r="D576" i="2"/>
  <c r="B576" i="2" s="1"/>
  <c r="D577" i="2"/>
  <c r="B577" i="2" s="1"/>
  <c r="D578" i="2"/>
  <c r="C578" i="2" s="1"/>
  <c r="D579" i="2"/>
  <c r="C579" i="2" s="1"/>
  <c r="D580" i="2"/>
  <c r="B580" i="2" s="1"/>
  <c r="D581" i="2"/>
  <c r="B581" i="2" s="1"/>
  <c r="D582" i="2"/>
  <c r="B582" i="2" s="1"/>
  <c r="D583" i="2"/>
  <c r="B583" i="2" s="1"/>
  <c r="D584" i="2"/>
  <c r="B584" i="2" s="1"/>
  <c r="D585" i="2"/>
  <c r="B585" i="2" s="1"/>
  <c r="D586" i="2"/>
  <c r="C586" i="2" s="1"/>
  <c r="D587" i="2"/>
  <c r="C587" i="2" s="1"/>
  <c r="D588" i="2"/>
  <c r="B588" i="2" s="1"/>
  <c r="D589" i="2"/>
  <c r="B589" i="2" s="1"/>
  <c r="D590" i="2"/>
  <c r="B590" i="2" s="1"/>
  <c r="D591" i="2"/>
  <c r="B591" i="2" s="1"/>
  <c r="D592" i="2"/>
  <c r="B592" i="2" s="1"/>
  <c r="D593" i="2"/>
  <c r="B593" i="2" s="1"/>
  <c r="D594" i="2"/>
  <c r="C594" i="2" s="1"/>
  <c r="D595" i="2"/>
  <c r="C595" i="2" s="1"/>
  <c r="D596" i="2"/>
  <c r="B596" i="2" s="1"/>
  <c r="D597" i="2"/>
  <c r="B597" i="2" s="1"/>
  <c r="D598" i="2"/>
  <c r="B598" i="2" s="1"/>
  <c r="D599" i="2"/>
  <c r="B599" i="2" s="1"/>
  <c r="D600" i="2"/>
  <c r="B600" i="2" s="1"/>
  <c r="D601" i="2"/>
  <c r="B601" i="2" s="1"/>
  <c r="L2" i="2"/>
  <c r="L3" i="2" s="1"/>
  <c r="L4" i="2" s="1"/>
  <c r="L5" i="2" s="1"/>
  <c r="L6" i="2" s="1"/>
  <c r="L7" i="2" s="1"/>
  <c r="L8" i="2" s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B26" i="2" s="1"/>
  <c r="D27" i="2"/>
  <c r="D28" i="2"/>
  <c r="D29" i="2"/>
  <c r="C29" i="2" s="1"/>
  <c r="D30" i="2"/>
  <c r="D31" i="2"/>
  <c r="D32" i="2"/>
  <c r="D33" i="2"/>
  <c r="D34" i="2"/>
  <c r="B34" i="2" s="1"/>
  <c r="D35" i="2"/>
  <c r="D36" i="2"/>
  <c r="D37" i="2"/>
  <c r="D38" i="2"/>
  <c r="D39" i="2"/>
  <c r="D40" i="2"/>
  <c r="D41" i="2"/>
  <c r="D42" i="2"/>
  <c r="B42" i="2" s="1"/>
  <c r="D43" i="2"/>
  <c r="D44" i="2"/>
  <c r="D45" i="2"/>
  <c r="C45" i="2" s="1"/>
  <c r="D46" i="2"/>
  <c r="D47" i="2"/>
  <c r="D48" i="2"/>
  <c r="D49" i="2"/>
  <c r="D50" i="2"/>
  <c r="B50" i="2" s="1"/>
  <c r="D51" i="2"/>
  <c r="D52" i="2"/>
  <c r="D53" i="2"/>
  <c r="D54" i="2"/>
  <c r="D55" i="2"/>
  <c r="D56" i="2"/>
  <c r="D57" i="2"/>
  <c r="D58" i="2"/>
  <c r="B58" i="2" s="1"/>
  <c r="D59" i="2"/>
  <c r="D60" i="2"/>
  <c r="D61" i="2"/>
  <c r="C61" i="2" s="1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B74" i="2" s="1"/>
  <c r="D75" i="2"/>
  <c r="D76" i="2"/>
  <c r="D77" i="2"/>
  <c r="C77" i="2" s="1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C93" i="2" s="1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B106" i="2" s="1"/>
  <c r="D107" i="2"/>
  <c r="D108" i="2"/>
  <c r="D109" i="2"/>
  <c r="C109" i="2" s="1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C125" i="2" s="1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B138" i="2" s="1"/>
  <c r="D139" i="2"/>
  <c r="D140" i="2"/>
  <c r="D141" i="2"/>
  <c r="C141" i="2" s="1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C157" i="2" s="1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B170" i="2" s="1"/>
  <c r="D171" i="2"/>
  <c r="D172" i="2"/>
  <c r="D173" i="2"/>
  <c r="C173" i="2" s="1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C189" i="2" s="1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B202" i="2" s="1"/>
  <c r="D203" i="2"/>
  <c r="D204" i="2"/>
  <c r="D205" i="2"/>
  <c r="C205" i="2" s="1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C221" i="2" s="1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B234" i="2" s="1"/>
  <c r="D235" i="2"/>
  <c r="D236" i="2"/>
  <c r="D237" i="2"/>
  <c r="C237" i="2" s="1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C253" i="2" s="1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B266" i="2" s="1"/>
  <c r="D267" i="2"/>
  <c r="D268" i="2"/>
  <c r="D269" i="2"/>
  <c r="C269" i="2" s="1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C285" i="2" s="1"/>
  <c r="D286" i="2"/>
  <c r="D287" i="2"/>
  <c r="D288" i="2"/>
  <c r="D289" i="2"/>
  <c r="D290" i="2"/>
  <c r="D291" i="2"/>
  <c r="D292" i="2"/>
  <c r="D293" i="2"/>
  <c r="C293" i="2" s="1"/>
  <c r="D294" i="2"/>
  <c r="D295" i="2"/>
  <c r="D296" i="2"/>
  <c r="D297" i="2"/>
  <c r="D298" i="2"/>
  <c r="B298" i="2" s="1"/>
  <c r="D299" i="2"/>
  <c r="D300" i="2"/>
  <c r="D301" i="2"/>
  <c r="C301" i="2" s="1"/>
  <c r="D302" i="2"/>
  <c r="D303" i="2"/>
  <c r="D304" i="2"/>
  <c r="D305" i="2"/>
  <c r="D306" i="2"/>
  <c r="D307" i="2"/>
  <c r="D308" i="2"/>
  <c r="D309" i="2"/>
  <c r="C309" i="2" s="1"/>
  <c r="D310" i="2"/>
  <c r="D311" i="2"/>
  <c r="D312" i="2"/>
  <c r="D313" i="2"/>
  <c r="D314" i="2"/>
  <c r="D315" i="2"/>
  <c r="D316" i="2"/>
  <c r="D317" i="2"/>
  <c r="C317" i="2" s="1"/>
  <c r="D318" i="2"/>
  <c r="D319" i="2"/>
  <c r="D320" i="2"/>
  <c r="D321" i="2"/>
  <c r="D322" i="2"/>
  <c r="D323" i="2"/>
  <c r="C323" i="2" s="1"/>
  <c r="D324" i="2"/>
  <c r="C324" i="2" s="1"/>
  <c r="D325" i="2"/>
  <c r="D326" i="2"/>
  <c r="D327" i="2"/>
  <c r="C327" i="2" s="1"/>
  <c r="D328" i="2"/>
  <c r="C328" i="2" s="1"/>
  <c r="D329" i="2"/>
  <c r="D330" i="2"/>
  <c r="B330" i="2" s="1"/>
  <c r="D331" i="2"/>
  <c r="C331" i="2" s="1"/>
  <c r="D332" i="2"/>
  <c r="D333" i="2"/>
  <c r="D334" i="2"/>
  <c r="D335" i="2"/>
  <c r="C335" i="2" s="1"/>
  <c r="D336" i="2"/>
  <c r="D337" i="2"/>
  <c r="D338" i="2"/>
  <c r="D339" i="2"/>
  <c r="C339" i="2" s="1"/>
  <c r="D340" i="2"/>
  <c r="D341" i="2"/>
  <c r="D342" i="2"/>
  <c r="D343" i="2"/>
  <c r="C343" i="2" s="1"/>
  <c r="D344" i="2"/>
  <c r="D345" i="2"/>
  <c r="D346" i="2"/>
  <c r="D347" i="2"/>
  <c r="C347" i="2" s="1"/>
  <c r="D348" i="2"/>
  <c r="D349" i="2"/>
  <c r="D350" i="2"/>
  <c r="D351" i="2"/>
  <c r="C351" i="2" s="1"/>
  <c r="D352" i="2"/>
  <c r="D353" i="2"/>
  <c r="D354" i="2"/>
  <c r="D355" i="2"/>
  <c r="C355" i="2" s="1"/>
  <c r="D356" i="2"/>
  <c r="D357" i="2"/>
  <c r="D358" i="2"/>
  <c r="D359" i="2"/>
  <c r="C359" i="2" s="1"/>
  <c r="D360" i="2"/>
  <c r="D361" i="2"/>
  <c r="D362" i="2"/>
  <c r="D363" i="2"/>
  <c r="C363" i="2" s="1"/>
  <c r="D364" i="2"/>
  <c r="D365" i="2"/>
  <c r="D366" i="2"/>
  <c r="D367" i="2"/>
  <c r="C367" i="2" s="1"/>
  <c r="D368" i="2"/>
  <c r="D369" i="2"/>
  <c r="D370" i="2"/>
  <c r="D371" i="2"/>
  <c r="C371" i="2" s="1"/>
  <c r="D372" i="2"/>
  <c r="D373" i="2"/>
  <c r="D374" i="2"/>
  <c r="D375" i="2"/>
  <c r="C375" i="2" s="1"/>
  <c r="D376" i="2"/>
  <c r="D377" i="2"/>
  <c r="D378" i="2"/>
  <c r="D379" i="2"/>
  <c r="C379" i="2" s="1"/>
  <c r="D380" i="2"/>
  <c r="D381" i="2"/>
  <c r="D382" i="2"/>
  <c r="D383" i="2"/>
  <c r="C383" i="2" s="1"/>
  <c r="D384" i="2"/>
  <c r="D385" i="2"/>
  <c r="D386" i="2"/>
  <c r="D387" i="2"/>
  <c r="C387" i="2" s="1"/>
  <c r="D388" i="2"/>
  <c r="D389" i="2"/>
  <c r="D390" i="2"/>
  <c r="D391" i="2"/>
  <c r="C391" i="2" s="1"/>
  <c r="D392" i="2"/>
  <c r="D393" i="2"/>
  <c r="D394" i="2"/>
  <c r="D395" i="2"/>
  <c r="C395" i="2" s="1"/>
  <c r="D396" i="2"/>
  <c r="D397" i="2"/>
  <c r="D398" i="2"/>
  <c r="D399" i="2"/>
  <c r="C399" i="2" s="1"/>
  <c r="D400" i="2"/>
  <c r="D401" i="2"/>
  <c r="D402" i="2"/>
  <c r="D403" i="2"/>
  <c r="C403" i="2" s="1"/>
  <c r="D404" i="2"/>
  <c r="D405" i="2"/>
  <c r="D406" i="2"/>
  <c r="D407" i="2"/>
  <c r="C407" i="2" s="1"/>
  <c r="D408" i="2"/>
  <c r="D409" i="2"/>
  <c r="D410" i="2"/>
  <c r="D411" i="2"/>
  <c r="C411" i="2" s="1"/>
  <c r="D412" i="2"/>
  <c r="D413" i="2"/>
  <c r="D414" i="2"/>
  <c r="D415" i="2"/>
  <c r="C415" i="2" s="1"/>
  <c r="D416" i="2"/>
  <c r="D417" i="2"/>
  <c r="D418" i="2"/>
  <c r="D419" i="2"/>
  <c r="C419" i="2" s="1"/>
  <c r="D420" i="2"/>
  <c r="D421" i="2"/>
  <c r="D422" i="2"/>
  <c r="D423" i="2"/>
  <c r="C423" i="2" s="1"/>
  <c r="D424" i="2"/>
  <c r="D425" i="2"/>
  <c r="D426" i="2"/>
  <c r="D427" i="2"/>
  <c r="C427" i="2" s="1"/>
  <c r="D428" i="2"/>
  <c r="D429" i="2"/>
  <c r="D430" i="2"/>
  <c r="D431" i="2"/>
  <c r="C431" i="2" s="1"/>
  <c r="D432" i="2"/>
  <c r="D433" i="2"/>
  <c r="D434" i="2"/>
  <c r="D435" i="2"/>
  <c r="C435" i="2" s="1"/>
  <c r="D436" i="2"/>
  <c r="D437" i="2"/>
  <c r="D3" i="2"/>
  <c r="D4" i="2"/>
  <c r="D5" i="2"/>
  <c r="D6" i="2"/>
  <c r="D7" i="2"/>
  <c r="D8" i="2"/>
  <c r="D9" i="2"/>
  <c r="D10" i="2"/>
  <c r="D11" i="2"/>
  <c r="D12" i="2"/>
  <c r="I72" i="1"/>
  <c r="I56" i="1"/>
  <c r="I74" i="1"/>
  <c r="I50" i="1"/>
  <c r="I49" i="1"/>
  <c r="I61" i="1"/>
  <c r="O8" i="1"/>
  <c r="I54" i="1"/>
  <c r="I76" i="1"/>
  <c r="I73" i="1"/>
  <c r="I57" i="1"/>
  <c r="I62" i="1"/>
  <c r="I66" i="1"/>
  <c r="I58" i="1"/>
  <c r="I75" i="1"/>
  <c r="I77" i="1"/>
  <c r="I98" i="1"/>
  <c r="I96" i="1"/>
  <c r="O6" i="1"/>
  <c r="O7" i="1"/>
  <c r="O5" i="1"/>
  <c r="O3" i="1"/>
  <c r="O2" i="1"/>
  <c r="I8" i="1"/>
  <c r="I40" i="1"/>
  <c r="I39" i="1"/>
  <c r="I6" i="1"/>
  <c r="I9" i="1"/>
  <c r="I5" i="1"/>
  <c r="I2" i="1"/>
  <c r="I13" i="1"/>
  <c r="I3" i="1"/>
  <c r="I83" i="1"/>
  <c r="I89" i="1"/>
  <c r="I78" i="1"/>
  <c r="I88" i="1"/>
  <c r="I79" i="1"/>
  <c r="I81" i="1"/>
  <c r="I90" i="1"/>
  <c r="I93" i="1"/>
  <c r="I85" i="1"/>
  <c r="I80" i="1"/>
  <c r="I87" i="1"/>
  <c r="I86" i="1"/>
  <c r="I92" i="1"/>
  <c r="I84" i="1"/>
  <c r="I94" i="1"/>
  <c r="I82" i="1"/>
  <c r="I41" i="1"/>
  <c r="I38" i="1"/>
  <c r="I14" i="1"/>
  <c r="I42" i="1"/>
  <c r="I36" i="1"/>
  <c r="I17" i="1"/>
  <c r="I20" i="1"/>
  <c r="I19" i="1"/>
  <c r="I21" i="1"/>
  <c r="I28" i="1"/>
  <c r="I23" i="1"/>
  <c r="I47" i="1"/>
  <c r="I29" i="1"/>
  <c r="I35" i="1"/>
  <c r="I45" i="1"/>
  <c r="I102" i="1"/>
  <c r="I27" i="1"/>
  <c r="I18" i="1"/>
  <c r="I108" i="1"/>
  <c r="I118" i="1"/>
  <c r="I32" i="1"/>
  <c r="I100" i="1"/>
  <c r="I25" i="1"/>
  <c r="I119" i="1"/>
  <c r="I112" i="1"/>
  <c r="I115" i="1"/>
  <c r="I110" i="1"/>
  <c r="I120" i="1"/>
  <c r="I111" i="1"/>
  <c r="I121" i="1"/>
  <c r="I97" i="1"/>
  <c r="I117" i="1"/>
  <c r="I109" i="1"/>
  <c r="I99" i="1"/>
  <c r="I104" i="1"/>
  <c r="I107" i="1"/>
  <c r="I95" i="1"/>
  <c r="I68" i="1"/>
  <c r="I67" i="1"/>
  <c r="I59" i="1"/>
  <c r="I51" i="1"/>
  <c r="I55" i="1"/>
  <c r="I52" i="1"/>
  <c r="I60" i="1"/>
  <c r="I65" i="1"/>
  <c r="I70" i="1"/>
  <c r="I71" i="1"/>
  <c r="I53" i="1"/>
  <c r="I15" i="1"/>
  <c r="I16" i="1"/>
  <c r="I101" i="1"/>
  <c r="I64" i="1"/>
  <c r="I69" i="1"/>
  <c r="I63" i="1"/>
  <c r="I30" i="1"/>
  <c r="I44" i="1"/>
  <c r="I46" i="1"/>
  <c r="I43" i="1"/>
  <c r="I48" i="1"/>
  <c r="I31" i="1"/>
  <c r="I34" i="1"/>
  <c r="I24" i="1"/>
  <c r="I26" i="1"/>
  <c r="I103" i="1"/>
  <c r="I105" i="1"/>
  <c r="I114" i="1"/>
  <c r="I113" i="1"/>
  <c r="I106" i="1"/>
  <c r="I91" i="1"/>
  <c r="I116" i="1"/>
  <c r="I22" i="1"/>
  <c r="I37" i="1"/>
  <c r="I11" i="1"/>
  <c r="I33" i="1"/>
  <c r="I12" i="1"/>
  <c r="I7" i="1"/>
  <c r="I10" i="1"/>
  <c r="I4" i="1"/>
  <c r="J2" i="2" l="1"/>
  <c r="H2" i="2" s="1"/>
  <c r="B285" i="2"/>
  <c r="L9" i="2"/>
  <c r="F8" i="2"/>
  <c r="C590" i="2"/>
  <c r="C574" i="2"/>
  <c r="C558" i="2"/>
  <c r="C542" i="2"/>
  <c r="C526" i="2"/>
  <c r="C510" i="2"/>
  <c r="C494" i="2"/>
  <c r="C478" i="2"/>
  <c r="C462" i="2"/>
  <c r="C446" i="2"/>
  <c r="B594" i="2"/>
  <c r="B578" i="2"/>
  <c r="B562" i="2"/>
  <c r="B546" i="2"/>
  <c r="B530" i="2"/>
  <c r="B514" i="2"/>
  <c r="B498" i="2"/>
  <c r="B482" i="2"/>
  <c r="B466" i="2"/>
  <c r="B450" i="2"/>
  <c r="F7" i="2"/>
  <c r="F3" i="2"/>
  <c r="B221" i="2"/>
  <c r="C599" i="2"/>
  <c r="C583" i="2"/>
  <c r="C567" i="2"/>
  <c r="C551" i="2"/>
  <c r="C535" i="2"/>
  <c r="C519" i="2"/>
  <c r="C503" i="2"/>
  <c r="C487" i="2"/>
  <c r="C471" i="2"/>
  <c r="C455" i="2"/>
  <c r="C439" i="2"/>
  <c r="B587" i="2"/>
  <c r="B571" i="2"/>
  <c r="B555" i="2"/>
  <c r="B539" i="2"/>
  <c r="B523" i="2"/>
  <c r="B507" i="2"/>
  <c r="B491" i="2"/>
  <c r="B475" i="2"/>
  <c r="B459" i="2"/>
  <c r="B443" i="2"/>
  <c r="F6" i="2"/>
  <c r="B93" i="2"/>
  <c r="C598" i="2"/>
  <c r="C582" i="2"/>
  <c r="C566" i="2"/>
  <c r="C550" i="2"/>
  <c r="C534" i="2"/>
  <c r="C518" i="2"/>
  <c r="C502" i="2"/>
  <c r="C486" i="2"/>
  <c r="C470" i="2"/>
  <c r="C454" i="2"/>
  <c r="B586" i="2"/>
  <c r="B570" i="2"/>
  <c r="B554" i="2"/>
  <c r="B538" i="2"/>
  <c r="B522" i="2"/>
  <c r="B506" i="2"/>
  <c r="B490" i="2"/>
  <c r="B474" i="2"/>
  <c r="B458" i="2"/>
  <c r="B442" i="2"/>
  <c r="F5" i="2"/>
  <c r="B61" i="2"/>
  <c r="C591" i="2"/>
  <c r="C575" i="2"/>
  <c r="C559" i="2"/>
  <c r="C543" i="2"/>
  <c r="C527" i="2"/>
  <c r="C511" i="2"/>
  <c r="C495" i="2"/>
  <c r="C479" i="2"/>
  <c r="C463" i="2"/>
  <c r="C447" i="2"/>
  <c r="B595" i="2"/>
  <c r="B579" i="2"/>
  <c r="B563" i="2"/>
  <c r="B547" i="2"/>
  <c r="B531" i="2"/>
  <c r="B515" i="2"/>
  <c r="B499" i="2"/>
  <c r="B483" i="2"/>
  <c r="B467" i="2"/>
  <c r="B451" i="2"/>
  <c r="F2" i="2"/>
  <c r="F4" i="2"/>
  <c r="B399" i="2"/>
  <c r="B335" i="2"/>
  <c r="B157" i="2"/>
  <c r="B45" i="2"/>
  <c r="B367" i="2"/>
  <c r="B18" i="2"/>
  <c r="C42" i="2"/>
  <c r="B351" i="2"/>
  <c r="B383" i="2"/>
  <c r="B317" i="2"/>
  <c r="B125" i="2"/>
  <c r="B29" i="2"/>
  <c r="B438" i="2"/>
  <c r="C601" i="2"/>
  <c r="C597" i="2"/>
  <c r="C593" i="2"/>
  <c r="C589" i="2"/>
  <c r="C585" i="2"/>
  <c r="C581" i="2"/>
  <c r="C577" i="2"/>
  <c r="C573" i="2"/>
  <c r="C569" i="2"/>
  <c r="C565" i="2"/>
  <c r="C561" i="2"/>
  <c r="C557" i="2"/>
  <c r="C553" i="2"/>
  <c r="C549" i="2"/>
  <c r="C545" i="2"/>
  <c r="C541" i="2"/>
  <c r="C537" i="2"/>
  <c r="C533" i="2"/>
  <c r="C529" i="2"/>
  <c r="C525" i="2"/>
  <c r="C521" i="2"/>
  <c r="C517" i="2"/>
  <c r="C513" i="2"/>
  <c r="C509" i="2"/>
  <c r="C505" i="2"/>
  <c r="C501" i="2"/>
  <c r="C497" i="2"/>
  <c r="C493" i="2"/>
  <c r="C489" i="2"/>
  <c r="C485" i="2"/>
  <c r="C481" i="2"/>
  <c r="C477" i="2"/>
  <c r="C473" i="2"/>
  <c r="C469" i="2"/>
  <c r="C465" i="2"/>
  <c r="C461" i="2"/>
  <c r="C457" i="2"/>
  <c r="C453" i="2"/>
  <c r="C449" i="2"/>
  <c r="C445" i="2"/>
  <c r="C441" i="2"/>
  <c r="C600" i="2"/>
  <c r="C596" i="2"/>
  <c r="C592" i="2"/>
  <c r="C588" i="2"/>
  <c r="C584" i="2"/>
  <c r="C580" i="2"/>
  <c r="C576" i="2"/>
  <c r="C572" i="2"/>
  <c r="C568" i="2"/>
  <c r="C564" i="2"/>
  <c r="C560" i="2"/>
  <c r="C556" i="2"/>
  <c r="C552" i="2"/>
  <c r="C548" i="2"/>
  <c r="C544" i="2"/>
  <c r="C540" i="2"/>
  <c r="C536" i="2"/>
  <c r="C532" i="2"/>
  <c r="C528" i="2"/>
  <c r="C524" i="2"/>
  <c r="C520" i="2"/>
  <c r="C516" i="2"/>
  <c r="C512" i="2"/>
  <c r="C508" i="2"/>
  <c r="C504" i="2"/>
  <c r="C500" i="2"/>
  <c r="C496" i="2"/>
  <c r="C492" i="2"/>
  <c r="C488" i="2"/>
  <c r="C484" i="2"/>
  <c r="C480" i="2"/>
  <c r="C476" i="2"/>
  <c r="C472" i="2"/>
  <c r="C468" i="2"/>
  <c r="C464" i="2"/>
  <c r="C460" i="2"/>
  <c r="C456" i="2"/>
  <c r="C452" i="2"/>
  <c r="C448" i="2"/>
  <c r="C444" i="2"/>
  <c r="C440" i="2"/>
  <c r="C3" i="2"/>
  <c r="B3" i="2"/>
  <c r="G3" i="2"/>
  <c r="J3" i="2" s="1"/>
  <c r="H3" i="2" s="1"/>
  <c r="C422" i="2"/>
  <c r="B422" i="2"/>
  <c r="C410" i="2"/>
  <c r="B410" i="2"/>
  <c r="C398" i="2"/>
  <c r="B398" i="2"/>
  <c r="C386" i="2"/>
  <c r="B386" i="2"/>
  <c r="C378" i="2"/>
  <c r="B378" i="2"/>
  <c r="C362" i="2"/>
  <c r="B362" i="2"/>
  <c r="B322" i="2"/>
  <c r="C322" i="2"/>
  <c r="B314" i="2"/>
  <c r="C314" i="2"/>
  <c r="B306" i="2"/>
  <c r="C306" i="2"/>
  <c r="B258" i="2"/>
  <c r="C258" i="2"/>
  <c r="B226" i="2"/>
  <c r="C226" i="2"/>
  <c r="B194" i="2"/>
  <c r="C194" i="2"/>
  <c r="C190" i="2"/>
  <c r="B190" i="2"/>
  <c r="B186" i="2"/>
  <c r="C186" i="2"/>
  <c r="C182" i="2"/>
  <c r="B182" i="2"/>
  <c r="B178" i="2"/>
  <c r="C178" i="2"/>
  <c r="C174" i="2"/>
  <c r="B174" i="2"/>
  <c r="C166" i="2"/>
  <c r="B166" i="2"/>
  <c r="C158" i="2"/>
  <c r="B158" i="2"/>
  <c r="B154" i="2"/>
  <c r="C154" i="2"/>
  <c r="C150" i="2"/>
  <c r="B150" i="2"/>
  <c r="B146" i="2"/>
  <c r="C146" i="2"/>
  <c r="C142" i="2"/>
  <c r="B142" i="2"/>
  <c r="B130" i="2"/>
  <c r="C130" i="2"/>
  <c r="B98" i="2"/>
  <c r="C98" i="2"/>
  <c r="C94" i="2"/>
  <c r="B94" i="2"/>
  <c r="C86" i="2"/>
  <c r="B86" i="2"/>
  <c r="B82" i="2"/>
  <c r="C82" i="2"/>
  <c r="C70" i="2"/>
  <c r="B70" i="2"/>
  <c r="B66" i="2"/>
  <c r="C66" i="2"/>
  <c r="C62" i="2"/>
  <c r="B62" i="2"/>
  <c r="C330" i="2"/>
  <c r="C6" i="2"/>
  <c r="B6" i="2"/>
  <c r="G6" i="2"/>
  <c r="J6" i="2" s="1"/>
  <c r="H6" i="2" s="1"/>
  <c r="C433" i="2"/>
  <c r="B433" i="2"/>
  <c r="C425" i="2"/>
  <c r="B425" i="2"/>
  <c r="C417" i="2"/>
  <c r="B417" i="2"/>
  <c r="C405" i="2"/>
  <c r="B405" i="2"/>
  <c r="C397" i="2"/>
  <c r="B397" i="2"/>
  <c r="C389" i="2"/>
  <c r="B389" i="2"/>
  <c r="C381" i="2"/>
  <c r="B381" i="2"/>
  <c r="C373" i="2"/>
  <c r="B373" i="2"/>
  <c r="C365" i="2"/>
  <c r="B365" i="2"/>
  <c r="C357" i="2"/>
  <c r="B357" i="2"/>
  <c r="C345" i="2"/>
  <c r="B345" i="2"/>
  <c r="C305" i="2"/>
  <c r="B305" i="2"/>
  <c r="C297" i="2"/>
  <c r="B297" i="2"/>
  <c r="C289" i="2"/>
  <c r="B289" i="2"/>
  <c r="C281" i="2"/>
  <c r="B281" i="2"/>
  <c r="C277" i="2"/>
  <c r="B277" i="2"/>
  <c r="C265" i="2"/>
  <c r="B265" i="2"/>
  <c r="C261" i="2"/>
  <c r="B261" i="2"/>
  <c r="C257" i="2"/>
  <c r="B257" i="2"/>
  <c r="C249" i="2"/>
  <c r="B249" i="2"/>
  <c r="C245" i="2"/>
  <c r="B245" i="2"/>
  <c r="C241" i="2"/>
  <c r="B241" i="2"/>
  <c r="C233" i="2"/>
  <c r="B233" i="2"/>
  <c r="C229" i="2"/>
  <c r="B229" i="2"/>
  <c r="C225" i="2"/>
  <c r="B225" i="2"/>
  <c r="C217" i="2"/>
  <c r="B217" i="2"/>
  <c r="C213" i="2"/>
  <c r="B213" i="2"/>
  <c r="C209" i="2"/>
  <c r="B209" i="2"/>
  <c r="C201" i="2"/>
  <c r="B201" i="2"/>
  <c r="C197" i="2"/>
  <c r="B197" i="2"/>
  <c r="C193" i="2"/>
  <c r="B193" i="2"/>
  <c r="C185" i="2"/>
  <c r="B185" i="2"/>
  <c r="C181" i="2"/>
  <c r="B181" i="2"/>
  <c r="C177" i="2"/>
  <c r="B177" i="2"/>
  <c r="C169" i="2"/>
  <c r="B169" i="2"/>
  <c r="C165" i="2"/>
  <c r="B165" i="2"/>
  <c r="C161" i="2"/>
  <c r="B161" i="2"/>
  <c r="C153" i="2"/>
  <c r="B153" i="2"/>
  <c r="C149" i="2"/>
  <c r="B149" i="2"/>
  <c r="C145" i="2"/>
  <c r="B145" i="2"/>
  <c r="C137" i="2"/>
  <c r="B137" i="2"/>
  <c r="C133" i="2"/>
  <c r="B133" i="2"/>
  <c r="C129" i="2"/>
  <c r="B129" i="2"/>
  <c r="C121" i="2"/>
  <c r="B121" i="2"/>
  <c r="C117" i="2"/>
  <c r="B117" i="2"/>
  <c r="C113" i="2"/>
  <c r="B113" i="2"/>
  <c r="C105" i="2"/>
  <c r="B105" i="2"/>
  <c r="C101" i="2"/>
  <c r="B101" i="2"/>
  <c r="C97" i="2"/>
  <c r="B97" i="2"/>
  <c r="C89" i="2"/>
  <c r="B89" i="2"/>
  <c r="C85" i="2"/>
  <c r="B85" i="2"/>
  <c r="C81" i="2"/>
  <c r="B81" i="2"/>
  <c r="C73" i="2"/>
  <c r="B73" i="2"/>
  <c r="C69" i="2"/>
  <c r="B69" i="2"/>
  <c r="C65" i="2"/>
  <c r="B65" i="2"/>
  <c r="C57" i="2"/>
  <c r="B57" i="2"/>
  <c r="C53" i="2"/>
  <c r="B53" i="2"/>
  <c r="C49" i="2"/>
  <c r="B49" i="2"/>
  <c r="C41" i="2"/>
  <c r="B41" i="2"/>
  <c r="C37" i="2"/>
  <c r="B37" i="2"/>
  <c r="C33" i="2"/>
  <c r="B33" i="2"/>
  <c r="C25" i="2"/>
  <c r="B25" i="2"/>
  <c r="C21" i="2"/>
  <c r="B21" i="2"/>
  <c r="C17" i="2"/>
  <c r="B17" i="2"/>
  <c r="C13" i="2"/>
  <c r="C298" i="2"/>
  <c r="C170" i="2"/>
  <c r="B427" i="2"/>
  <c r="B411" i="2"/>
  <c r="B395" i="2"/>
  <c r="B379" i="2"/>
  <c r="B363" i="2"/>
  <c r="B347" i="2"/>
  <c r="B331" i="2"/>
  <c r="B309" i="2"/>
  <c r="B269" i="2"/>
  <c r="B205" i="2"/>
  <c r="B141" i="2"/>
  <c r="B77" i="2"/>
  <c r="B13" i="2"/>
  <c r="C7" i="2"/>
  <c r="G7" i="2"/>
  <c r="J7" i="2" s="1"/>
  <c r="H7" i="2" s="1"/>
  <c r="B7" i="2"/>
  <c r="C430" i="2"/>
  <c r="B430" i="2"/>
  <c r="C426" i="2"/>
  <c r="B426" i="2"/>
  <c r="C414" i="2"/>
  <c r="B414" i="2"/>
  <c r="C402" i="2"/>
  <c r="B402" i="2"/>
  <c r="C390" i="2"/>
  <c r="B390" i="2"/>
  <c r="C370" i="2"/>
  <c r="B370" i="2"/>
  <c r="C358" i="2"/>
  <c r="B358" i="2"/>
  <c r="C350" i="2"/>
  <c r="B350" i="2"/>
  <c r="C346" i="2"/>
  <c r="B346" i="2"/>
  <c r="C338" i="2"/>
  <c r="B338" i="2"/>
  <c r="C334" i="2"/>
  <c r="B334" i="2"/>
  <c r="C326" i="2"/>
  <c r="B326" i="2"/>
  <c r="C318" i="2"/>
  <c r="B318" i="2"/>
  <c r="C310" i="2"/>
  <c r="B310" i="2"/>
  <c r="C302" i="2"/>
  <c r="B302" i="2"/>
  <c r="C294" i="2"/>
  <c r="B294" i="2"/>
  <c r="B290" i="2"/>
  <c r="C290" i="2"/>
  <c r="C286" i="2"/>
  <c r="B286" i="2"/>
  <c r="B282" i="2"/>
  <c r="C282" i="2"/>
  <c r="C278" i="2"/>
  <c r="B278" i="2"/>
  <c r="C270" i="2"/>
  <c r="B270" i="2"/>
  <c r="C262" i="2"/>
  <c r="B262" i="2"/>
  <c r="C254" i="2"/>
  <c r="B254" i="2"/>
  <c r="B250" i="2"/>
  <c r="C250" i="2"/>
  <c r="C246" i="2"/>
  <c r="B246" i="2"/>
  <c r="B242" i="2"/>
  <c r="C242" i="2"/>
  <c r="C238" i="2"/>
  <c r="B238" i="2"/>
  <c r="C230" i="2"/>
  <c r="B230" i="2"/>
  <c r="C222" i="2"/>
  <c r="B222" i="2"/>
  <c r="B218" i="2"/>
  <c r="C218" i="2"/>
  <c r="C214" i="2"/>
  <c r="B214" i="2"/>
  <c r="B210" i="2"/>
  <c r="C210" i="2"/>
  <c r="C206" i="2"/>
  <c r="B206" i="2"/>
  <c r="C198" i="2"/>
  <c r="B198" i="2"/>
  <c r="B162" i="2"/>
  <c r="C162" i="2"/>
  <c r="C134" i="2"/>
  <c r="B134" i="2"/>
  <c r="C126" i="2"/>
  <c r="B126" i="2"/>
  <c r="B122" i="2"/>
  <c r="C122" i="2"/>
  <c r="C118" i="2"/>
  <c r="B118" i="2"/>
  <c r="B114" i="2"/>
  <c r="C114" i="2"/>
  <c r="C110" i="2"/>
  <c r="B110" i="2"/>
  <c r="C102" i="2"/>
  <c r="B102" i="2"/>
  <c r="B90" i="2"/>
  <c r="C90" i="2"/>
  <c r="C78" i="2"/>
  <c r="B78" i="2"/>
  <c r="C202" i="2"/>
  <c r="C74" i="2"/>
  <c r="B431" i="2"/>
  <c r="B415" i="2"/>
  <c r="B10" i="2"/>
  <c r="C437" i="2"/>
  <c r="B437" i="2"/>
  <c r="C429" i="2"/>
  <c r="B429" i="2"/>
  <c r="C421" i="2"/>
  <c r="B421" i="2"/>
  <c r="C413" i="2"/>
  <c r="B413" i="2"/>
  <c r="C409" i="2"/>
  <c r="B409" i="2"/>
  <c r="C401" i="2"/>
  <c r="B401" i="2"/>
  <c r="C393" i="2"/>
  <c r="B393" i="2"/>
  <c r="C385" i="2"/>
  <c r="B385" i="2"/>
  <c r="C377" i="2"/>
  <c r="B377" i="2"/>
  <c r="C369" i="2"/>
  <c r="B369" i="2"/>
  <c r="C361" i="2"/>
  <c r="B361" i="2"/>
  <c r="C353" i="2"/>
  <c r="B353" i="2"/>
  <c r="C349" i="2"/>
  <c r="B349" i="2"/>
  <c r="C341" i="2"/>
  <c r="B341" i="2"/>
  <c r="C337" i="2"/>
  <c r="B337" i="2"/>
  <c r="C333" i="2"/>
  <c r="B333" i="2"/>
  <c r="C329" i="2"/>
  <c r="B329" i="2"/>
  <c r="C325" i="2"/>
  <c r="B325" i="2"/>
  <c r="C321" i="2"/>
  <c r="B321" i="2"/>
  <c r="C313" i="2"/>
  <c r="B313" i="2"/>
  <c r="C273" i="2"/>
  <c r="B273" i="2"/>
  <c r="B2" i="2"/>
  <c r="C2" i="2"/>
  <c r="C9" i="2"/>
  <c r="G9" i="2"/>
  <c r="J9" i="2" s="1"/>
  <c r="H9" i="2" s="1"/>
  <c r="B9" i="2"/>
  <c r="C5" i="2"/>
  <c r="G5" i="2"/>
  <c r="J5" i="2" s="1"/>
  <c r="H5" i="2" s="1"/>
  <c r="B5" i="2"/>
  <c r="C436" i="2"/>
  <c r="B436" i="2"/>
  <c r="C432" i="2"/>
  <c r="B432" i="2"/>
  <c r="C428" i="2"/>
  <c r="B428" i="2"/>
  <c r="C424" i="2"/>
  <c r="B424" i="2"/>
  <c r="C420" i="2"/>
  <c r="B420" i="2"/>
  <c r="C416" i="2"/>
  <c r="B416" i="2"/>
  <c r="C412" i="2"/>
  <c r="B412" i="2"/>
  <c r="C408" i="2"/>
  <c r="B408" i="2"/>
  <c r="C404" i="2"/>
  <c r="B404" i="2"/>
  <c r="C400" i="2"/>
  <c r="B400" i="2"/>
  <c r="C396" i="2"/>
  <c r="B396" i="2"/>
  <c r="C392" i="2"/>
  <c r="B392" i="2"/>
  <c r="C388" i="2"/>
  <c r="B388" i="2"/>
  <c r="C384" i="2"/>
  <c r="B384" i="2"/>
  <c r="C380" i="2"/>
  <c r="B380" i="2"/>
  <c r="C376" i="2"/>
  <c r="B376" i="2"/>
  <c r="C372" i="2"/>
  <c r="B372" i="2"/>
  <c r="C368" i="2"/>
  <c r="B368" i="2"/>
  <c r="C364" i="2"/>
  <c r="B364" i="2"/>
  <c r="C360" i="2"/>
  <c r="B360" i="2"/>
  <c r="C356" i="2"/>
  <c r="B356" i="2"/>
  <c r="C352" i="2"/>
  <c r="B352" i="2"/>
  <c r="C348" i="2"/>
  <c r="B348" i="2"/>
  <c r="C344" i="2"/>
  <c r="B344" i="2"/>
  <c r="C340" i="2"/>
  <c r="B340" i="2"/>
  <c r="C336" i="2"/>
  <c r="B336" i="2"/>
  <c r="C332" i="2"/>
  <c r="B332" i="2"/>
  <c r="C266" i="2"/>
  <c r="C138" i="2"/>
  <c r="C10" i="2"/>
  <c r="B423" i="2"/>
  <c r="B407" i="2"/>
  <c r="B391" i="2"/>
  <c r="B375" i="2"/>
  <c r="B359" i="2"/>
  <c r="B343" i="2"/>
  <c r="B327" i="2"/>
  <c r="B301" i="2"/>
  <c r="B253" i="2"/>
  <c r="B189" i="2"/>
  <c r="C11" i="2"/>
  <c r="B11" i="2"/>
  <c r="C434" i="2"/>
  <c r="B434" i="2"/>
  <c r="C418" i="2"/>
  <c r="B418" i="2"/>
  <c r="C406" i="2"/>
  <c r="B406" i="2"/>
  <c r="C394" i="2"/>
  <c r="B394" i="2"/>
  <c r="C382" i="2"/>
  <c r="B382" i="2"/>
  <c r="C374" i="2"/>
  <c r="B374" i="2"/>
  <c r="C366" i="2"/>
  <c r="B366" i="2"/>
  <c r="C354" i="2"/>
  <c r="B354" i="2"/>
  <c r="C342" i="2"/>
  <c r="B342" i="2"/>
  <c r="B274" i="2"/>
  <c r="C274" i="2"/>
  <c r="C12" i="2"/>
  <c r="B12" i="2"/>
  <c r="C8" i="2"/>
  <c r="G8" i="2"/>
  <c r="J8" i="2" s="1"/>
  <c r="H8" i="2" s="1"/>
  <c r="B8" i="2"/>
  <c r="C4" i="2"/>
  <c r="B4" i="2"/>
  <c r="G4" i="2"/>
  <c r="J4" i="2" s="1"/>
  <c r="H4" i="2" s="1"/>
  <c r="C319" i="2"/>
  <c r="B319" i="2"/>
  <c r="C315" i="2"/>
  <c r="B315" i="2"/>
  <c r="C311" i="2"/>
  <c r="B311" i="2"/>
  <c r="C307" i="2"/>
  <c r="B307" i="2"/>
  <c r="C303" i="2"/>
  <c r="B303" i="2"/>
  <c r="C299" i="2"/>
  <c r="B299" i="2"/>
  <c r="C295" i="2"/>
  <c r="B295" i="2"/>
  <c r="C291" i="2"/>
  <c r="B291" i="2"/>
  <c r="C287" i="2"/>
  <c r="B287" i="2"/>
  <c r="C283" i="2"/>
  <c r="B283" i="2"/>
  <c r="C279" i="2"/>
  <c r="B279" i="2"/>
  <c r="C275" i="2"/>
  <c r="B275" i="2"/>
  <c r="C234" i="2"/>
  <c r="C106" i="2"/>
  <c r="B435" i="2"/>
  <c r="B419" i="2"/>
  <c r="B403" i="2"/>
  <c r="B387" i="2"/>
  <c r="B371" i="2"/>
  <c r="B355" i="2"/>
  <c r="B339" i="2"/>
  <c r="B323" i="2"/>
  <c r="B293" i="2"/>
  <c r="B237" i="2"/>
  <c r="B173" i="2"/>
  <c r="B109" i="2"/>
  <c r="C320" i="2"/>
  <c r="B320" i="2"/>
  <c r="C316" i="2"/>
  <c r="B316" i="2"/>
  <c r="C312" i="2"/>
  <c r="B312" i="2"/>
  <c r="C308" i="2"/>
  <c r="B308" i="2"/>
  <c r="C304" i="2"/>
  <c r="B304" i="2"/>
  <c r="C300" i="2"/>
  <c r="B300" i="2"/>
  <c r="C296" i="2"/>
  <c r="B296" i="2"/>
  <c r="C292" i="2"/>
  <c r="B292" i="2"/>
  <c r="C288" i="2"/>
  <c r="B288" i="2"/>
  <c r="C284" i="2"/>
  <c r="B284" i="2"/>
  <c r="C280" i="2"/>
  <c r="B280" i="2"/>
  <c r="C276" i="2"/>
  <c r="B276" i="2"/>
  <c r="C272" i="2"/>
  <c r="B272" i="2"/>
  <c r="C268" i="2"/>
  <c r="B268" i="2"/>
  <c r="C264" i="2"/>
  <c r="B264" i="2"/>
  <c r="C260" i="2"/>
  <c r="B260" i="2"/>
  <c r="C256" i="2"/>
  <c r="B256" i="2"/>
  <c r="C252" i="2"/>
  <c r="B252" i="2"/>
  <c r="C248" i="2"/>
  <c r="B248" i="2"/>
  <c r="C244" i="2"/>
  <c r="B244" i="2"/>
  <c r="C240" i="2"/>
  <c r="B240" i="2"/>
  <c r="C236" i="2"/>
  <c r="B236" i="2"/>
  <c r="C232" i="2"/>
  <c r="B232" i="2"/>
  <c r="C228" i="2"/>
  <c r="B228" i="2"/>
  <c r="C224" i="2"/>
  <c r="B224" i="2"/>
  <c r="C220" i="2"/>
  <c r="B220" i="2"/>
  <c r="C216" i="2"/>
  <c r="B216" i="2"/>
  <c r="C212" i="2"/>
  <c r="B212" i="2"/>
  <c r="C208" i="2"/>
  <c r="B208" i="2"/>
  <c r="C204" i="2"/>
  <c r="B204" i="2"/>
  <c r="C200" i="2"/>
  <c r="B200" i="2"/>
  <c r="C196" i="2"/>
  <c r="B196" i="2"/>
  <c r="C192" i="2"/>
  <c r="B192" i="2"/>
  <c r="C188" i="2"/>
  <c r="B188" i="2"/>
  <c r="C184" i="2"/>
  <c r="B184" i="2"/>
  <c r="C180" i="2"/>
  <c r="B180" i="2"/>
  <c r="C176" i="2"/>
  <c r="B176" i="2"/>
  <c r="C172" i="2"/>
  <c r="B172" i="2"/>
  <c r="C168" i="2"/>
  <c r="B168" i="2"/>
  <c r="C164" i="2"/>
  <c r="B164" i="2"/>
  <c r="C160" i="2"/>
  <c r="B160" i="2"/>
  <c r="C156" i="2"/>
  <c r="B156" i="2"/>
  <c r="C152" i="2"/>
  <c r="B152" i="2"/>
  <c r="C148" i="2"/>
  <c r="B148" i="2"/>
  <c r="C144" i="2"/>
  <c r="B144" i="2"/>
  <c r="C140" i="2"/>
  <c r="B140" i="2"/>
  <c r="C136" i="2"/>
  <c r="B136" i="2"/>
  <c r="C132" i="2"/>
  <c r="B132" i="2"/>
  <c r="C128" i="2"/>
  <c r="B128" i="2"/>
  <c r="C124" i="2"/>
  <c r="B124" i="2"/>
  <c r="C120" i="2"/>
  <c r="B120" i="2"/>
  <c r="C116" i="2"/>
  <c r="B116" i="2"/>
  <c r="C112" i="2"/>
  <c r="B112" i="2"/>
  <c r="C108" i="2"/>
  <c r="B108" i="2"/>
  <c r="C104" i="2"/>
  <c r="B104" i="2"/>
  <c r="C100" i="2"/>
  <c r="B100" i="2"/>
  <c r="C96" i="2"/>
  <c r="B96" i="2"/>
  <c r="C92" i="2"/>
  <c r="B92" i="2"/>
  <c r="C88" i="2"/>
  <c r="B88" i="2"/>
  <c r="C84" i="2"/>
  <c r="B84" i="2"/>
  <c r="C80" i="2"/>
  <c r="B80" i="2"/>
  <c r="C76" i="2"/>
  <c r="B76" i="2"/>
  <c r="C72" i="2"/>
  <c r="B72" i="2"/>
  <c r="C68" i="2"/>
  <c r="B68" i="2"/>
  <c r="C64" i="2"/>
  <c r="B64" i="2"/>
  <c r="C60" i="2"/>
  <c r="B60" i="2"/>
  <c r="C56" i="2"/>
  <c r="B56" i="2"/>
  <c r="C52" i="2"/>
  <c r="B52" i="2"/>
  <c r="C48" i="2"/>
  <c r="B48" i="2"/>
  <c r="C44" i="2"/>
  <c r="B44" i="2"/>
  <c r="C40" i="2"/>
  <c r="B40" i="2"/>
  <c r="C36" i="2"/>
  <c r="B36" i="2"/>
  <c r="C32" i="2"/>
  <c r="B32" i="2"/>
  <c r="C28" i="2"/>
  <c r="B28" i="2"/>
  <c r="C24" i="2"/>
  <c r="B24" i="2"/>
  <c r="C20" i="2"/>
  <c r="B20" i="2"/>
  <c r="C16" i="2"/>
  <c r="B16" i="2"/>
  <c r="C34" i="2"/>
  <c r="C271" i="2"/>
  <c r="B271" i="2"/>
  <c r="C267" i="2"/>
  <c r="B267" i="2"/>
  <c r="C263" i="2"/>
  <c r="B263" i="2"/>
  <c r="C259" i="2"/>
  <c r="B259" i="2"/>
  <c r="C255" i="2"/>
  <c r="B255" i="2"/>
  <c r="C251" i="2"/>
  <c r="B251" i="2"/>
  <c r="C247" i="2"/>
  <c r="B247" i="2"/>
  <c r="C243" i="2"/>
  <c r="B243" i="2"/>
  <c r="C239" i="2"/>
  <c r="B239" i="2"/>
  <c r="C235" i="2"/>
  <c r="B235" i="2"/>
  <c r="C231" i="2"/>
  <c r="B231" i="2"/>
  <c r="C227" i="2"/>
  <c r="B227" i="2"/>
  <c r="C223" i="2"/>
  <c r="B223" i="2"/>
  <c r="C219" i="2"/>
  <c r="B219" i="2"/>
  <c r="C215" i="2"/>
  <c r="B215" i="2"/>
  <c r="C211" i="2"/>
  <c r="B211" i="2"/>
  <c r="C207" i="2"/>
  <c r="B207" i="2"/>
  <c r="C203" i="2"/>
  <c r="B203" i="2"/>
  <c r="C199" i="2"/>
  <c r="B199" i="2"/>
  <c r="C195" i="2"/>
  <c r="B195" i="2"/>
  <c r="C191" i="2"/>
  <c r="B191" i="2"/>
  <c r="C187" i="2"/>
  <c r="B187" i="2"/>
  <c r="C183" i="2"/>
  <c r="B183" i="2"/>
  <c r="C179" i="2"/>
  <c r="B179" i="2"/>
  <c r="C175" i="2"/>
  <c r="B175" i="2"/>
  <c r="C171" i="2"/>
  <c r="B171" i="2"/>
  <c r="C167" i="2"/>
  <c r="B167" i="2"/>
  <c r="C163" i="2"/>
  <c r="B163" i="2"/>
  <c r="C159" i="2"/>
  <c r="B159" i="2"/>
  <c r="C155" i="2"/>
  <c r="B155" i="2"/>
  <c r="C151" i="2"/>
  <c r="B151" i="2"/>
  <c r="C147" i="2"/>
  <c r="B147" i="2"/>
  <c r="C143" i="2"/>
  <c r="B143" i="2"/>
  <c r="C139" i="2"/>
  <c r="B139" i="2"/>
  <c r="C135" i="2"/>
  <c r="B135" i="2"/>
  <c r="C131" i="2"/>
  <c r="B131" i="2"/>
  <c r="C127" i="2"/>
  <c r="B127" i="2"/>
  <c r="C123" i="2"/>
  <c r="B123" i="2"/>
  <c r="C119" i="2"/>
  <c r="B119" i="2"/>
  <c r="C115" i="2"/>
  <c r="B115" i="2"/>
  <c r="C111" i="2"/>
  <c r="B111" i="2"/>
  <c r="C107" i="2"/>
  <c r="B107" i="2"/>
  <c r="C103" i="2"/>
  <c r="B103" i="2"/>
  <c r="C99" i="2"/>
  <c r="B99" i="2"/>
  <c r="C95" i="2"/>
  <c r="B95" i="2"/>
  <c r="C91" i="2"/>
  <c r="B91" i="2"/>
  <c r="C87" i="2"/>
  <c r="B87" i="2"/>
  <c r="C83" i="2"/>
  <c r="B83" i="2"/>
  <c r="C79" i="2"/>
  <c r="B79" i="2"/>
  <c r="C75" i="2"/>
  <c r="B75" i="2"/>
  <c r="C71" i="2"/>
  <c r="B71" i="2"/>
  <c r="C67" i="2"/>
  <c r="B67" i="2"/>
  <c r="C63" i="2"/>
  <c r="B63" i="2"/>
  <c r="C59" i="2"/>
  <c r="B59" i="2"/>
  <c r="C55" i="2"/>
  <c r="B55" i="2"/>
  <c r="C51" i="2"/>
  <c r="B51" i="2"/>
  <c r="C47" i="2"/>
  <c r="B47" i="2"/>
  <c r="C43" i="2"/>
  <c r="B43" i="2"/>
  <c r="C39" i="2"/>
  <c r="B39" i="2"/>
  <c r="C35" i="2"/>
  <c r="B35" i="2"/>
  <c r="C31" i="2"/>
  <c r="B31" i="2"/>
  <c r="C27" i="2"/>
  <c r="B27" i="2"/>
  <c r="C23" i="2"/>
  <c r="B23" i="2"/>
  <c r="C19" i="2"/>
  <c r="B19" i="2"/>
  <c r="C15" i="2"/>
  <c r="B15" i="2"/>
  <c r="C58" i="2"/>
  <c r="C26" i="2"/>
  <c r="C54" i="2"/>
  <c r="B54" i="2"/>
  <c r="C46" i="2"/>
  <c r="B46" i="2"/>
  <c r="C38" i="2"/>
  <c r="B38" i="2"/>
  <c r="C30" i="2"/>
  <c r="B30" i="2"/>
  <c r="C22" i="2"/>
  <c r="B22" i="2"/>
  <c r="C14" i="2"/>
  <c r="B14" i="2"/>
  <c r="C50" i="2"/>
  <c r="C18" i="2"/>
  <c r="B328" i="2"/>
  <c r="B324" i="2"/>
  <c r="Q2" i="1"/>
  <c r="Q5" i="1"/>
  <c r="F392" i="2" l="1"/>
  <c r="F412" i="2"/>
  <c r="F432" i="2"/>
  <c r="F452" i="2"/>
  <c r="F472" i="2"/>
  <c r="F492" i="2"/>
  <c r="F512" i="2"/>
  <c r="F532" i="2"/>
  <c r="F552" i="2"/>
  <c r="F572" i="2"/>
  <c r="F592" i="2"/>
  <c r="F247" i="2"/>
  <c r="F267" i="2"/>
  <c r="F287" i="2"/>
  <c r="F307" i="2"/>
  <c r="F327" i="2"/>
  <c r="F347" i="2"/>
  <c r="F367" i="2"/>
  <c r="F192" i="2"/>
  <c r="F212" i="2"/>
  <c r="F232" i="2"/>
  <c r="F402" i="2"/>
  <c r="F422" i="2"/>
  <c r="F482" i="2"/>
  <c r="F502" i="2"/>
  <c r="F542" i="2"/>
  <c r="F582" i="2"/>
  <c r="F257" i="2"/>
  <c r="F297" i="2"/>
  <c r="F317" i="2"/>
  <c r="F357" i="2"/>
  <c r="F377" i="2"/>
  <c r="F202" i="2"/>
  <c r="F182" i="2"/>
  <c r="F507" i="2"/>
  <c r="F527" i="2"/>
  <c r="F567" i="2"/>
  <c r="F242" i="2"/>
  <c r="F262" i="2"/>
  <c r="F302" i="2"/>
  <c r="F322" i="2"/>
  <c r="F362" i="2"/>
  <c r="F207" i="2"/>
  <c r="F227" i="2"/>
  <c r="F397" i="2"/>
  <c r="F417" i="2"/>
  <c r="F437" i="2"/>
  <c r="F457" i="2"/>
  <c r="F477" i="2"/>
  <c r="F497" i="2"/>
  <c r="F517" i="2"/>
  <c r="F537" i="2"/>
  <c r="F557" i="2"/>
  <c r="F577" i="2"/>
  <c r="F597" i="2"/>
  <c r="F252" i="2"/>
  <c r="F272" i="2"/>
  <c r="F292" i="2"/>
  <c r="F312" i="2"/>
  <c r="F332" i="2"/>
  <c r="F352" i="2"/>
  <c r="F372" i="2"/>
  <c r="F197" i="2"/>
  <c r="F217" i="2"/>
  <c r="F187" i="2"/>
  <c r="F442" i="2"/>
  <c r="F462" i="2"/>
  <c r="F522" i="2"/>
  <c r="F562" i="2"/>
  <c r="F382" i="2"/>
  <c r="F277" i="2"/>
  <c r="F337" i="2"/>
  <c r="F222" i="2"/>
  <c r="F387" i="2"/>
  <c r="F407" i="2"/>
  <c r="F427" i="2"/>
  <c r="F447" i="2"/>
  <c r="F467" i="2"/>
  <c r="F487" i="2"/>
  <c r="F547" i="2"/>
  <c r="F587" i="2"/>
  <c r="F282" i="2"/>
  <c r="F342" i="2"/>
  <c r="F237" i="2"/>
  <c r="P2" i="1"/>
  <c r="P3" i="1"/>
  <c r="L10" i="2"/>
  <c r="F9" i="2"/>
  <c r="L11" i="2" l="1"/>
  <c r="F10" i="2"/>
  <c r="G10" i="2"/>
  <c r="J10" i="2" s="1"/>
  <c r="H10" i="2" s="1"/>
  <c r="L12" i="2" l="1"/>
  <c r="F11" i="2"/>
  <c r="G11" i="2"/>
  <c r="J11" i="2" s="1"/>
  <c r="H11" i="2" s="1"/>
  <c r="L13" i="2" l="1"/>
  <c r="F12" i="2"/>
  <c r="G12" i="2"/>
  <c r="J12" i="2" s="1"/>
  <c r="H12" i="2" s="1"/>
  <c r="L14" i="2" l="1"/>
  <c r="F13" i="2"/>
  <c r="G13" i="2"/>
  <c r="J13" i="2" s="1"/>
  <c r="H13" i="2" s="1"/>
  <c r="L15" i="2" l="1"/>
  <c r="F14" i="2"/>
  <c r="G14" i="2"/>
  <c r="J14" i="2" s="1"/>
  <c r="H14" i="2" s="1"/>
  <c r="L16" i="2" l="1"/>
  <c r="F15" i="2"/>
  <c r="G15" i="2"/>
  <c r="J15" i="2" s="1"/>
  <c r="H15" i="2" s="1"/>
  <c r="L17" i="2" l="1"/>
  <c r="F16" i="2"/>
  <c r="G16" i="2"/>
  <c r="J16" i="2" s="1"/>
  <c r="H16" i="2" s="1"/>
  <c r="L18" i="2" l="1"/>
  <c r="F17" i="2"/>
  <c r="G17" i="2"/>
  <c r="J17" i="2" s="1"/>
  <c r="H17" i="2" s="1"/>
  <c r="L19" i="2" l="1"/>
  <c r="F18" i="2"/>
  <c r="G18" i="2"/>
  <c r="J18" i="2" s="1"/>
  <c r="H18" i="2" s="1"/>
  <c r="L20" i="2" l="1"/>
  <c r="F19" i="2"/>
  <c r="G19" i="2"/>
  <c r="J19" i="2" s="1"/>
  <c r="H19" i="2" s="1"/>
  <c r="F20" i="2" l="1"/>
  <c r="L21" i="2"/>
  <c r="G20" i="2"/>
  <c r="J20" i="2" s="1"/>
  <c r="H20" i="2" s="1"/>
  <c r="L22" i="2" l="1"/>
  <c r="F21" i="2"/>
  <c r="G21" i="2"/>
  <c r="J21" i="2" s="1"/>
  <c r="H21" i="2" s="1"/>
  <c r="L23" i="2" l="1"/>
  <c r="F22" i="2"/>
  <c r="G22" i="2"/>
  <c r="J22" i="2" s="1"/>
  <c r="H22" i="2" s="1"/>
  <c r="L24" i="2" l="1"/>
  <c r="F23" i="2"/>
  <c r="G23" i="2"/>
  <c r="J23" i="2" s="1"/>
  <c r="H23" i="2" s="1"/>
  <c r="L25" i="2" l="1"/>
  <c r="F24" i="2"/>
  <c r="G24" i="2"/>
  <c r="J24" i="2" s="1"/>
  <c r="H24" i="2" s="1"/>
  <c r="F25" i="2" l="1"/>
  <c r="G25" i="2"/>
  <c r="J25" i="2" s="1"/>
  <c r="H25" i="2" s="1"/>
  <c r="L26" i="2"/>
  <c r="F26" i="2" l="1"/>
  <c r="G26" i="2"/>
  <c r="J26" i="2" s="1"/>
  <c r="H26" i="2" s="1"/>
  <c r="L27" i="2"/>
  <c r="F27" i="2" l="1"/>
  <c r="L28" i="2"/>
  <c r="G27" i="2"/>
  <c r="J27" i="2" s="1"/>
  <c r="H27" i="2" s="1"/>
  <c r="F28" i="2" l="1"/>
  <c r="L29" i="2"/>
  <c r="G28" i="2"/>
  <c r="J28" i="2" s="1"/>
  <c r="H28" i="2" s="1"/>
  <c r="F29" i="2" l="1"/>
  <c r="L30" i="2"/>
  <c r="G29" i="2"/>
  <c r="J29" i="2" s="1"/>
  <c r="H29" i="2" s="1"/>
  <c r="F30" i="2" l="1"/>
  <c r="L31" i="2"/>
  <c r="G30" i="2"/>
  <c r="J30" i="2" s="1"/>
  <c r="H30" i="2" s="1"/>
  <c r="F31" i="2" l="1"/>
  <c r="G31" i="2"/>
  <c r="J31" i="2" s="1"/>
  <c r="H31" i="2" s="1"/>
  <c r="L32" i="2"/>
  <c r="F32" i="2" l="1"/>
  <c r="L33" i="2"/>
  <c r="G32" i="2"/>
  <c r="J32" i="2" s="1"/>
  <c r="H32" i="2" s="1"/>
  <c r="F33" i="2" l="1"/>
  <c r="L34" i="2"/>
  <c r="G33" i="2"/>
  <c r="J33" i="2" s="1"/>
  <c r="H33" i="2" s="1"/>
  <c r="F34" i="2" l="1"/>
  <c r="G34" i="2"/>
  <c r="J34" i="2" s="1"/>
  <c r="H34" i="2" s="1"/>
  <c r="L35" i="2"/>
  <c r="F35" i="2" l="1"/>
  <c r="L36" i="2"/>
  <c r="G35" i="2"/>
  <c r="J35" i="2" s="1"/>
  <c r="H35" i="2" s="1"/>
  <c r="F36" i="2" l="1"/>
  <c r="L37" i="2"/>
  <c r="G36" i="2"/>
  <c r="J36" i="2" s="1"/>
  <c r="H36" i="2" s="1"/>
  <c r="F37" i="2" l="1"/>
  <c r="G37" i="2"/>
  <c r="J37" i="2" s="1"/>
  <c r="H37" i="2" s="1"/>
  <c r="L38" i="2"/>
  <c r="F38" i="2" l="1"/>
  <c r="G38" i="2"/>
  <c r="J38" i="2" s="1"/>
  <c r="H38" i="2" s="1"/>
  <c r="L39" i="2"/>
  <c r="F39" i="2" l="1"/>
  <c r="L40" i="2"/>
  <c r="G39" i="2"/>
  <c r="J39" i="2" s="1"/>
  <c r="H39" i="2" s="1"/>
  <c r="F40" i="2" l="1"/>
  <c r="L41" i="2"/>
  <c r="G40" i="2"/>
  <c r="J40" i="2" s="1"/>
  <c r="H40" i="2" s="1"/>
  <c r="F41" i="2" l="1"/>
  <c r="G41" i="2"/>
  <c r="J41" i="2" s="1"/>
  <c r="H41" i="2" s="1"/>
  <c r="L42" i="2"/>
  <c r="F42" i="2" l="1"/>
  <c r="G42" i="2"/>
  <c r="J42" i="2" s="1"/>
  <c r="H42" i="2" s="1"/>
  <c r="L43" i="2"/>
  <c r="F43" i="2" l="1"/>
  <c r="L44" i="2"/>
  <c r="G43" i="2"/>
  <c r="J43" i="2" s="1"/>
  <c r="H43" i="2" s="1"/>
  <c r="F44" i="2" l="1"/>
  <c r="L45" i="2"/>
  <c r="G44" i="2"/>
  <c r="J44" i="2" s="1"/>
  <c r="H44" i="2" s="1"/>
  <c r="F45" i="2" l="1"/>
  <c r="L46" i="2"/>
  <c r="G45" i="2"/>
  <c r="J45" i="2" s="1"/>
  <c r="H45" i="2" s="1"/>
  <c r="F46" i="2" l="1"/>
  <c r="G46" i="2"/>
  <c r="J46" i="2" s="1"/>
  <c r="H46" i="2" s="1"/>
  <c r="L47" i="2"/>
  <c r="F47" i="2" l="1"/>
  <c r="L48" i="2"/>
  <c r="G47" i="2"/>
  <c r="J47" i="2" s="1"/>
  <c r="H47" i="2" s="1"/>
  <c r="F48" i="2" l="1"/>
  <c r="G48" i="2"/>
  <c r="J48" i="2" s="1"/>
  <c r="H48" i="2" s="1"/>
  <c r="L49" i="2"/>
  <c r="F49" i="2" l="1"/>
  <c r="G49" i="2"/>
  <c r="J49" i="2" s="1"/>
  <c r="H49" i="2" s="1"/>
  <c r="L50" i="2"/>
  <c r="F50" i="2" l="1"/>
  <c r="G50" i="2"/>
  <c r="J50" i="2" s="1"/>
  <c r="H50" i="2" s="1"/>
  <c r="L51" i="2"/>
  <c r="F51" i="2" l="1"/>
  <c r="G51" i="2"/>
  <c r="J51" i="2" s="1"/>
  <c r="H51" i="2" s="1"/>
  <c r="L52" i="2"/>
  <c r="F52" i="2" l="1"/>
  <c r="L53" i="2"/>
  <c r="G52" i="2"/>
  <c r="J52" i="2" s="1"/>
  <c r="H52" i="2" s="1"/>
  <c r="F53" i="2" l="1"/>
  <c r="G53" i="2"/>
  <c r="J53" i="2" s="1"/>
  <c r="H53" i="2" s="1"/>
  <c r="L54" i="2"/>
  <c r="F54" i="2" l="1"/>
  <c r="L55" i="2"/>
  <c r="G54" i="2"/>
  <c r="J54" i="2" s="1"/>
  <c r="H54" i="2" s="1"/>
  <c r="F55" i="2" l="1"/>
  <c r="G55" i="2"/>
  <c r="J55" i="2" s="1"/>
  <c r="H55" i="2" s="1"/>
  <c r="L56" i="2"/>
  <c r="F56" i="2" l="1"/>
  <c r="L57" i="2"/>
  <c r="G56" i="2"/>
  <c r="J56" i="2" s="1"/>
  <c r="H56" i="2" s="1"/>
  <c r="F57" i="2" l="1"/>
  <c r="G57" i="2"/>
  <c r="J57" i="2" s="1"/>
  <c r="H57" i="2" s="1"/>
  <c r="L58" i="2"/>
  <c r="F58" i="2" l="1"/>
  <c r="G58" i="2"/>
  <c r="J58" i="2" s="1"/>
  <c r="H58" i="2" s="1"/>
  <c r="L59" i="2"/>
  <c r="F59" i="2" l="1"/>
  <c r="L60" i="2"/>
  <c r="G59" i="2"/>
  <c r="J59" i="2" s="1"/>
  <c r="H59" i="2" s="1"/>
  <c r="F60" i="2" l="1"/>
  <c r="L61" i="2"/>
  <c r="G60" i="2"/>
  <c r="J60" i="2" s="1"/>
  <c r="H60" i="2" s="1"/>
  <c r="F61" i="2" l="1"/>
  <c r="G61" i="2"/>
  <c r="J61" i="2" s="1"/>
  <c r="H61" i="2" s="1"/>
  <c r="L62" i="2"/>
  <c r="F62" i="2" l="1"/>
  <c r="G62" i="2"/>
  <c r="J62" i="2" s="1"/>
  <c r="H62" i="2" s="1"/>
  <c r="L63" i="2"/>
  <c r="F63" i="2" l="1"/>
  <c r="G63" i="2"/>
  <c r="J63" i="2" s="1"/>
  <c r="H63" i="2" s="1"/>
  <c r="L64" i="2"/>
  <c r="F64" i="2" l="1"/>
  <c r="G64" i="2"/>
  <c r="J64" i="2" s="1"/>
  <c r="H64" i="2" s="1"/>
  <c r="L65" i="2"/>
  <c r="F65" i="2" l="1"/>
  <c r="G65" i="2"/>
  <c r="J65" i="2" s="1"/>
  <c r="H65" i="2" s="1"/>
  <c r="L66" i="2"/>
  <c r="F66" i="2" l="1"/>
  <c r="G66" i="2"/>
  <c r="J66" i="2" s="1"/>
  <c r="H66" i="2" s="1"/>
  <c r="L67" i="2"/>
  <c r="F67" i="2" l="1"/>
  <c r="G67" i="2"/>
  <c r="J67" i="2" s="1"/>
  <c r="H67" i="2" s="1"/>
  <c r="L68" i="2"/>
  <c r="F68" i="2" l="1"/>
  <c r="L69" i="2"/>
  <c r="G68" i="2"/>
  <c r="J68" i="2" s="1"/>
  <c r="H68" i="2" s="1"/>
  <c r="F69" i="2" l="1"/>
  <c r="L70" i="2"/>
  <c r="G69" i="2"/>
  <c r="J69" i="2" s="1"/>
  <c r="H69" i="2" s="1"/>
  <c r="F70" i="2" l="1"/>
  <c r="G70" i="2"/>
  <c r="J70" i="2" s="1"/>
  <c r="H70" i="2" s="1"/>
  <c r="L71" i="2"/>
  <c r="F71" i="2" l="1"/>
  <c r="G71" i="2"/>
  <c r="J71" i="2" s="1"/>
  <c r="H71" i="2" s="1"/>
  <c r="L72" i="2"/>
  <c r="F72" i="2" l="1"/>
  <c r="L73" i="2"/>
  <c r="G72" i="2"/>
  <c r="J72" i="2" s="1"/>
  <c r="H72" i="2" s="1"/>
  <c r="F73" i="2" l="1"/>
  <c r="G73" i="2"/>
  <c r="J73" i="2" s="1"/>
  <c r="H73" i="2" s="1"/>
  <c r="L74" i="2"/>
  <c r="F74" i="2" l="1"/>
  <c r="L75" i="2"/>
  <c r="G74" i="2"/>
  <c r="J74" i="2" s="1"/>
  <c r="H74" i="2" s="1"/>
  <c r="F75" i="2" l="1"/>
  <c r="G75" i="2"/>
  <c r="J75" i="2" s="1"/>
  <c r="H75" i="2" s="1"/>
  <c r="L76" i="2"/>
  <c r="F76" i="2" l="1"/>
  <c r="L77" i="2"/>
  <c r="G76" i="2"/>
  <c r="J76" i="2" s="1"/>
  <c r="H76" i="2" s="1"/>
  <c r="F77" i="2" l="1"/>
  <c r="G77" i="2"/>
  <c r="J77" i="2" s="1"/>
  <c r="H77" i="2" s="1"/>
  <c r="L78" i="2"/>
  <c r="F78" i="2" l="1"/>
  <c r="G78" i="2"/>
  <c r="J78" i="2" s="1"/>
  <c r="H78" i="2" s="1"/>
  <c r="L79" i="2"/>
  <c r="F79" i="2" l="1"/>
  <c r="L80" i="2"/>
  <c r="G79" i="2"/>
  <c r="J79" i="2" s="1"/>
  <c r="H79" i="2" s="1"/>
  <c r="F80" i="2" l="1"/>
  <c r="G80" i="2"/>
  <c r="J80" i="2" s="1"/>
  <c r="H80" i="2" s="1"/>
  <c r="L81" i="2"/>
  <c r="F81" i="2" l="1"/>
  <c r="G81" i="2"/>
  <c r="J81" i="2" s="1"/>
  <c r="H81" i="2" s="1"/>
  <c r="L82" i="2"/>
  <c r="F82" i="2" l="1"/>
  <c r="G82" i="2"/>
  <c r="J82" i="2" s="1"/>
  <c r="H82" i="2" s="1"/>
  <c r="L83" i="2"/>
  <c r="F83" i="2" l="1"/>
  <c r="G83" i="2"/>
  <c r="J83" i="2" s="1"/>
  <c r="H83" i="2" s="1"/>
  <c r="L84" i="2"/>
  <c r="F84" i="2" l="1"/>
  <c r="L85" i="2"/>
  <c r="G84" i="2"/>
  <c r="J84" i="2" s="1"/>
  <c r="H84" i="2" s="1"/>
  <c r="F85" i="2" l="1"/>
  <c r="G85" i="2"/>
  <c r="J85" i="2" s="1"/>
  <c r="H85" i="2" s="1"/>
  <c r="L86" i="2"/>
  <c r="F86" i="2" l="1"/>
  <c r="G86" i="2"/>
  <c r="J86" i="2" s="1"/>
  <c r="H86" i="2" s="1"/>
  <c r="L87" i="2"/>
  <c r="F87" i="2" l="1"/>
  <c r="G87" i="2"/>
  <c r="J87" i="2" s="1"/>
  <c r="H87" i="2" s="1"/>
  <c r="L88" i="2"/>
  <c r="F88" i="2" l="1"/>
  <c r="L89" i="2"/>
  <c r="G88" i="2"/>
  <c r="J88" i="2" s="1"/>
  <c r="H88" i="2" s="1"/>
  <c r="F89" i="2" l="1"/>
  <c r="L90" i="2"/>
  <c r="G89" i="2"/>
  <c r="J89" i="2" s="1"/>
  <c r="H89" i="2" s="1"/>
  <c r="F90" i="2" l="1"/>
  <c r="G90" i="2"/>
  <c r="J90" i="2" s="1"/>
  <c r="H90" i="2" s="1"/>
  <c r="L91" i="2"/>
  <c r="F91" i="2" l="1"/>
  <c r="G91" i="2"/>
  <c r="J91" i="2" s="1"/>
  <c r="H91" i="2" s="1"/>
  <c r="L92" i="2"/>
  <c r="F92" i="2" l="1"/>
  <c r="L93" i="2"/>
  <c r="G92" i="2"/>
  <c r="J92" i="2" s="1"/>
  <c r="H92" i="2" s="1"/>
  <c r="F93" i="2" l="1"/>
  <c r="G93" i="2"/>
  <c r="J93" i="2" s="1"/>
  <c r="H93" i="2" s="1"/>
  <c r="L94" i="2"/>
  <c r="F94" i="2" l="1"/>
  <c r="L95" i="2"/>
  <c r="G94" i="2"/>
  <c r="J94" i="2" s="1"/>
  <c r="H94" i="2" s="1"/>
  <c r="F95" i="2" l="1"/>
  <c r="G95" i="2"/>
  <c r="J95" i="2" s="1"/>
  <c r="H95" i="2" s="1"/>
  <c r="L96" i="2"/>
  <c r="F96" i="2" l="1"/>
  <c r="G96" i="2"/>
  <c r="J96" i="2" s="1"/>
  <c r="H96" i="2" s="1"/>
  <c r="L97" i="2"/>
  <c r="F97" i="2" l="1"/>
  <c r="G97" i="2"/>
  <c r="J97" i="2" s="1"/>
  <c r="H97" i="2" s="1"/>
  <c r="L98" i="2"/>
  <c r="F98" i="2" l="1"/>
  <c r="G98" i="2"/>
  <c r="J98" i="2" s="1"/>
  <c r="H98" i="2" s="1"/>
  <c r="L99" i="2"/>
  <c r="F99" i="2" l="1"/>
  <c r="L100" i="2"/>
  <c r="G99" i="2"/>
  <c r="J99" i="2" s="1"/>
  <c r="H99" i="2" s="1"/>
  <c r="F100" i="2" l="1"/>
  <c r="L101" i="2"/>
  <c r="G100" i="2"/>
  <c r="J100" i="2" s="1"/>
  <c r="H100" i="2" s="1"/>
  <c r="F101" i="2" l="1"/>
  <c r="G101" i="2"/>
  <c r="J101" i="2" s="1"/>
  <c r="H101" i="2" s="1"/>
  <c r="L102" i="2"/>
  <c r="F102" i="2" l="1"/>
  <c r="G102" i="2"/>
  <c r="J102" i="2" s="1"/>
  <c r="H102" i="2" s="1"/>
  <c r="L103" i="2"/>
  <c r="F103" i="2" l="1"/>
  <c r="G103" i="2"/>
  <c r="J103" i="2" s="1"/>
  <c r="H103" i="2" s="1"/>
  <c r="L104" i="2"/>
  <c r="F104" i="2" l="1"/>
  <c r="L105" i="2"/>
  <c r="G104" i="2"/>
  <c r="J104" i="2" s="1"/>
  <c r="H104" i="2" s="1"/>
  <c r="F105" i="2" l="1"/>
  <c r="G105" i="2"/>
  <c r="J105" i="2" s="1"/>
  <c r="H105" i="2" s="1"/>
  <c r="L106" i="2"/>
  <c r="F106" i="2" l="1"/>
  <c r="G106" i="2"/>
  <c r="J106" i="2" s="1"/>
  <c r="H106" i="2" s="1"/>
  <c r="L107" i="2"/>
  <c r="F107" i="2" l="1"/>
  <c r="G107" i="2"/>
  <c r="J107" i="2" s="1"/>
  <c r="H107" i="2" s="1"/>
  <c r="L108" i="2"/>
  <c r="F108" i="2" l="1"/>
  <c r="L109" i="2"/>
  <c r="G108" i="2"/>
  <c r="J108" i="2" s="1"/>
  <c r="H108" i="2" s="1"/>
  <c r="F109" i="2" l="1"/>
  <c r="L110" i="2"/>
  <c r="G109" i="2"/>
  <c r="J109" i="2" s="1"/>
  <c r="H109" i="2" s="1"/>
  <c r="F110" i="2" l="1"/>
  <c r="G110" i="2"/>
  <c r="J110" i="2" s="1"/>
  <c r="H110" i="2" s="1"/>
  <c r="L111" i="2"/>
  <c r="F111" i="2" l="1"/>
  <c r="G111" i="2"/>
  <c r="J111" i="2" s="1"/>
  <c r="H111" i="2" s="1"/>
  <c r="L112" i="2"/>
  <c r="F112" i="2" l="1"/>
  <c r="G112" i="2"/>
  <c r="J112" i="2" s="1"/>
  <c r="H112" i="2" s="1"/>
  <c r="L113" i="2"/>
  <c r="F113" i="2" l="1"/>
  <c r="G113" i="2"/>
  <c r="J113" i="2" s="1"/>
  <c r="H113" i="2" s="1"/>
  <c r="L114" i="2"/>
  <c r="F114" i="2" l="1"/>
  <c r="L115" i="2"/>
  <c r="G114" i="2"/>
  <c r="J114" i="2" s="1"/>
  <c r="H114" i="2" s="1"/>
  <c r="F115" i="2" l="1"/>
  <c r="G115" i="2"/>
  <c r="J115" i="2" s="1"/>
  <c r="H115" i="2" s="1"/>
  <c r="L116" i="2"/>
  <c r="F116" i="2" l="1"/>
  <c r="L117" i="2"/>
  <c r="G116" i="2"/>
  <c r="J116" i="2" s="1"/>
  <c r="H116" i="2" s="1"/>
  <c r="F117" i="2" l="1"/>
  <c r="G117" i="2"/>
  <c r="J117" i="2" s="1"/>
  <c r="H117" i="2" s="1"/>
  <c r="L118" i="2"/>
  <c r="F118" i="2" l="1"/>
  <c r="G118" i="2"/>
  <c r="J118" i="2" s="1"/>
  <c r="H118" i="2" s="1"/>
  <c r="L119" i="2"/>
  <c r="F119" i="2" l="1"/>
  <c r="L120" i="2"/>
  <c r="G119" i="2"/>
  <c r="J119" i="2" s="1"/>
  <c r="H119" i="2" s="1"/>
  <c r="F120" i="2" l="1"/>
  <c r="L121" i="2"/>
  <c r="G120" i="2"/>
  <c r="J120" i="2" s="1"/>
  <c r="H120" i="2" s="1"/>
  <c r="F121" i="2" l="1"/>
  <c r="G121" i="2"/>
  <c r="J121" i="2" s="1"/>
  <c r="H121" i="2" s="1"/>
  <c r="L122" i="2"/>
  <c r="F122" i="2" l="1"/>
  <c r="G122" i="2"/>
  <c r="J122" i="2" s="1"/>
  <c r="H122" i="2" s="1"/>
  <c r="L123" i="2"/>
  <c r="F123" i="2" l="1"/>
  <c r="G123" i="2"/>
  <c r="J123" i="2" s="1"/>
  <c r="H123" i="2" s="1"/>
  <c r="L124" i="2"/>
  <c r="F124" i="2" l="1"/>
  <c r="L125" i="2"/>
  <c r="G124" i="2"/>
  <c r="J124" i="2" s="1"/>
  <c r="H124" i="2" s="1"/>
  <c r="F125" i="2" l="1"/>
  <c r="G125" i="2"/>
  <c r="J125" i="2" s="1"/>
  <c r="H125" i="2" s="1"/>
  <c r="L126" i="2"/>
  <c r="F126" i="2" l="1"/>
  <c r="G126" i="2"/>
  <c r="J126" i="2" s="1"/>
  <c r="H126" i="2" s="1"/>
  <c r="L127" i="2"/>
  <c r="F127" i="2" l="1"/>
  <c r="G127" i="2"/>
  <c r="J127" i="2" s="1"/>
  <c r="H127" i="2" s="1"/>
  <c r="L128" i="2"/>
  <c r="F128" i="2" l="1"/>
  <c r="G128" i="2"/>
  <c r="J128" i="2" s="1"/>
  <c r="H128" i="2" s="1"/>
  <c r="L129" i="2"/>
  <c r="F129" i="2" l="1"/>
  <c r="L130" i="2"/>
  <c r="G129" i="2"/>
  <c r="J129" i="2" s="1"/>
  <c r="H129" i="2" s="1"/>
  <c r="F130" i="2" l="1"/>
  <c r="G130" i="2"/>
  <c r="J130" i="2" s="1"/>
  <c r="H130" i="2" s="1"/>
  <c r="L131" i="2"/>
  <c r="F131" i="2" l="1"/>
  <c r="G131" i="2"/>
  <c r="J131" i="2" s="1"/>
  <c r="H131" i="2" s="1"/>
  <c r="L132" i="2"/>
  <c r="F132" i="2" l="1"/>
  <c r="G132" i="2"/>
  <c r="J132" i="2" s="1"/>
  <c r="H132" i="2" s="1"/>
  <c r="L133" i="2"/>
  <c r="F133" i="2" l="1"/>
  <c r="G133" i="2"/>
  <c r="J133" i="2" s="1"/>
  <c r="H133" i="2" s="1"/>
  <c r="L134" i="2"/>
  <c r="F134" i="2" l="1"/>
  <c r="L135" i="2"/>
  <c r="G134" i="2"/>
  <c r="J134" i="2" s="1"/>
  <c r="H134" i="2" s="1"/>
  <c r="F135" i="2" l="1"/>
  <c r="G135" i="2"/>
  <c r="J135" i="2" s="1"/>
  <c r="H135" i="2" s="1"/>
  <c r="L136" i="2"/>
  <c r="F136" i="2" l="1"/>
  <c r="G136" i="2"/>
  <c r="J136" i="2" s="1"/>
  <c r="H136" i="2" s="1"/>
  <c r="L137" i="2"/>
  <c r="F137" i="2" l="1"/>
  <c r="G137" i="2"/>
  <c r="J137" i="2" s="1"/>
  <c r="H137" i="2" s="1"/>
  <c r="L138" i="2"/>
  <c r="F138" i="2" l="1"/>
  <c r="G138" i="2"/>
  <c r="J138" i="2" s="1"/>
  <c r="H138" i="2" s="1"/>
  <c r="L139" i="2"/>
  <c r="F139" i="2" l="1"/>
  <c r="L140" i="2"/>
  <c r="G139" i="2"/>
  <c r="J139" i="2" s="1"/>
  <c r="H139" i="2" s="1"/>
  <c r="F140" i="2" l="1"/>
  <c r="G140" i="2"/>
  <c r="J140" i="2" s="1"/>
  <c r="H140" i="2" s="1"/>
  <c r="L141" i="2"/>
  <c r="F141" i="2" l="1"/>
  <c r="G141" i="2"/>
  <c r="J141" i="2" s="1"/>
  <c r="H141" i="2" s="1"/>
  <c r="L142" i="2"/>
  <c r="F142" i="2" l="1"/>
  <c r="G142" i="2"/>
  <c r="J142" i="2" s="1"/>
  <c r="H142" i="2" s="1"/>
  <c r="L143" i="2"/>
  <c r="F143" i="2" l="1"/>
  <c r="G143" i="2"/>
  <c r="J143" i="2" s="1"/>
  <c r="H143" i="2" s="1"/>
  <c r="L144" i="2"/>
  <c r="F144" i="2" l="1"/>
  <c r="L145" i="2"/>
  <c r="G144" i="2"/>
  <c r="J144" i="2" s="1"/>
  <c r="H144" i="2" s="1"/>
  <c r="F145" i="2" l="1"/>
  <c r="G145" i="2"/>
  <c r="J145" i="2" s="1"/>
  <c r="H145" i="2" s="1"/>
  <c r="L146" i="2"/>
  <c r="F146" i="2" l="1"/>
  <c r="G146" i="2"/>
  <c r="J146" i="2" s="1"/>
  <c r="H146" i="2" s="1"/>
  <c r="L147" i="2"/>
  <c r="F147" i="2" l="1"/>
  <c r="G147" i="2"/>
  <c r="J147" i="2" s="1"/>
  <c r="H147" i="2" s="1"/>
  <c r="L148" i="2"/>
  <c r="F148" i="2" l="1"/>
  <c r="G148" i="2"/>
  <c r="J148" i="2" s="1"/>
  <c r="H148" i="2" s="1"/>
  <c r="L149" i="2"/>
  <c r="F149" i="2" l="1"/>
  <c r="L150" i="2"/>
  <c r="G149" i="2"/>
  <c r="J149" i="2" s="1"/>
  <c r="H149" i="2" s="1"/>
  <c r="F150" i="2" l="1"/>
  <c r="G150" i="2"/>
  <c r="J150" i="2" s="1"/>
  <c r="H150" i="2" s="1"/>
  <c r="L151" i="2"/>
  <c r="F151" i="2" l="1"/>
  <c r="G151" i="2"/>
  <c r="J151" i="2" s="1"/>
  <c r="H151" i="2" s="1"/>
  <c r="L152" i="2"/>
  <c r="F152" i="2" l="1"/>
  <c r="G152" i="2"/>
  <c r="J152" i="2" s="1"/>
  <c r="H152" i="2" s="1"/>
  <c r="L153" i="2"/>
  <c r="F153" i="2" l="1"/>
  <c r="G153" i="2"/>
  <c r="J153" i="2" s="1"/>
  <c r="H153" i="2" s="1"/>
  <c r="L154" i="2"/>
  <c r="F154" i="2" l="1"/>
  <c r="G154" i="2"/>
  <c r="J154" i="2" s="1"/>
  <c r="H154" i="2" s="1"/>
  <c r="L155" i="2"/>
  <c r="F155" i="2" l="1"/>
  <c r="L156" i="2"/>
  <c r="G155" i="2"/>
  <c r="J155" i="2" s="1"/>
  <c r="H155" i="2" s="1"/>
  <c r="F156" i="2" l="1"/>
  <c r="G156" i="2"/>
  <c r="J156" i="2" s="1"/>
  <c r="H156" i="2" s="1"/>
  <c r="L157" i="2"/>
  <c r="F157" i="2" l="1"/>
  <c r="G157" i="2"/>
  <c r="J157" i="2" s="1"/>
  <c r="H157" i="2" s="1"/>
  <c r="L158" i="2"/>
  <c r="F158" i="2" l="1"/>
  <c r="G158" i="2"/>
  <c r="J158" i="2" s="1"/>
  <c r="H158" i="2" s="1"/>
  <c r="L159" i="2"/>
  <c r="F159" i="2" l="1"/>
  <c r="L160" i="2"/>
  <c r="G159" i="2"/>
  <c r="J159" i="2" s="1"/>
  <c r="H159" i="2" s="1"/>
  <c r="F160" i="2" l="1"/>
  <c r="G160" i="2"/>
  <c r="J160" i="2" s="1"/>
  <c r="H160" i="2" s="1"/>
  <c r="L161" i="2"/>
  <c r="F161" i="2" l="1"/>
  <c r="G161" i="2"/>
  <c r="J161" i="2" s="1"/>
  <c r="H161" i="2" s="1"/>
  <c r="L162" i="2"/>
  <c r="F162" i="2" l="1"/>
  <c r="G162" i="2"/>
  <c r="J162" i="2" s="1"/>
  <c r="H162" i="2" s="1"/>
  <c r="L163" i="2"/>
  <c r="F163" i="2" l="1"/>
  <c r="G163" i="2"/>
  <c r="J163" i="2" s="1"/>
  <c r="H163" i="2" s="1"/>
  <c r="L164" i="2"/>
  <c r="F164" i="2" l="1"/>
  <c r="L165" i="2"/>
  <c r="G164" i="2"/>
  <c r="J164" i="2" s="1"/>
  <c r="H164" i="2" s="1"/>
  <c r="F165" i="2" l="1"/>
  <c r="G165" i="2"/>
  <c r="J165" i="2" s="1"/>
  <c r="H165" i="2" s="1"/>
  <c r="L166" i="2"/>
  <c r="F166" i="2" l="1"/>
  <c r="G166" i="2"/>
  <c r="J166" i="2" s="1"/>
  <c r="H166" i="2" s="1"/>
  <c r="L167" i="2"/>
  <c r="F167" i="2" l="1"/>
  <c r="G167" i="2"/>
  <c r="J167" i="2" s="1"/>
  <c r="H167" i="2" s="1"/>
  <c r="L168" i="2"/>
  <c r="F168" i="2" l="1"/>
  <c r="G168" i="2"/>
  <c r="J168" i="2" s="1"/>
  <c r="H168" i="2" s="1"/>
  <c r="L169" i="2"/>
  <c r="F169" i="2" l="1"/>
  <c r="L170" i="2"/>
  <c r="G169" i="2"/>
  <c r="J169" i="2" s="1"/>
  <c r="H169" i="2" s="1"/>
  <c r="F170" i="2" l="1"/>
  <c r="G170" i="2"/>
  <c r="J170" i="2" s="1"/>
  <c r="H170" i="2" s="1"/>
  <c r="L171" i="2"/>
  <c r="F171" i="2" l="1"/>
  <c r="G171" i="2"/>
  <c r="J171" i="2" s="1"/>
  <c r="H171" i="2" s="1"/>
  <c r="L172" i="2"/>
  <c r="F172" i="2" l="1"/>
  <c r="G172" i="2"/>
  <c r="J172" i="2" s="1"/>
  <c r="H172" i="2" s="1"/>
  <c r="L173" i="2"/>
  <c r="F173" i="2" l="1"/>
  <c r="G173" i="2"/>
  <c r="J173" i="2" s="1"/>
  <c r="H173" i="2" s="1"/>
  <c r="L174" i="2"/>
  <c r="F174" i="2" l="1"/>
  <c r="L175" i="2"/>
  <c r="G174" i="2"/>
  <c r="J174" i="2" s="1"/>
  <c r="H174" i="2" s="1"/>
  <c r="F175" i="2" l="1"/>
  <c r="G175" i="2"/>
  <c r="J175" i="2" s="1"/>
  <c r="H175" i="2" s="1"/>
  <c r="L176" i="2"/>
  <c r="F176" i="2" l="1"/>
  <c r="G176" i="2"/>
  <c r="J176" i="2" s="1"/>
  <c r="H176" i="2" s="1"/>
  <c r="L177" i="2"/>
  <c r="F177" i="2" l="1"/>
  <c r="G177" i="2"/>
  <c r="J177" i="2" s="1"/>
  <c r="H177" i="2" s="1"/>
  <c r="L178" i="2"/>
  <c r="F178" i="2" l="1"/>
  <c r="G178" i="2"/>
  <c r="J178" i="2" s="1"/>
  <c r="H178" i="2" s="1"/>
  <c r="L179" i="2"/>
  <c r="F179" i="2" l="1"/>
  <c r="L180" i="2"/>
  <c r="G179" i="2"/>
  <c r="J179" i="2" s="1"/>
  <c r="H179" i="2" s="1"/>
  <c r="F180" i="2" l="1"/>
  <c r="G180" i="2"/>
  <c r="J180" i="2" s="1"/>
  <c r="H180" i="2" s="1"/>
  <c r="L181" i="2"/>
  <c r="F181" i="2" l="1"/>
  <c r="G181" i="2"/>
  <c r="J181" i="2" s="1"/>
  <c r="H181" i="2" s="1"/>
  <c r="L182" i="2"/>
  <c r="G182" i="2" l="1"/>
  <c r="J182" i="2" s="1"/>
  <c r="H182" i="2" s="1"/>
  <c r="L183" i="2"/>
  <c r="G183" i="2" l="1"/>
  <c r="J183" i="2" s="1"/>
  <c r="H183" i="2" s="1"/>
  <c r="L184" i="2"/>
  <c r="L185" i="2" l="1"/>
  <c r="G184" i="2"/>
  <c r="J184" i="2" s="1"/>
  <c r="H184" i="2" s="1"/>
  <c r="G185" i="2" l="1"/>
  <c r="J185" i="2" s="1"/>
  <c r="H185" i="2" s="1"/>
  <c r="L186" i="2"/>
  <c r="G186" i="2" l="1"/>
  <c r="J186" i="2" s="1"/>
  <c r="H186" i="2" s="1"/>
  <c r="L187" i="2"/>
  <c r="G187" i="2" l="1"/>
  <c r="J187" i="2" s="1"/>
  <c r="H187" i="2" s="1"/>
  <c r="L188" i="2"/>
  <c r="G188" i="2" l="1"/>
  <c r="J188" i="2" s="1"/>
  <c r="H188" i="2" s="1"/>
  <c r="L189" i="2"/>
  <c r="L190" i="2" l="1"/>
  <c r="G189" i="2"/>
  <c r="J189" i="2" s="1"/>
  <c r="H189" i="2" s="1"/>
  <c r="G190" i="2" l="1"/>
  <c r="J190" i="2" s="1"/>
  <c r="H190" i="2" s="1"/>
  <c r="L191" i="2"/>
  <c r="G191" i="2" l="1"/>
  <c r="J191" i="2" s="1"/>
  <c r="H191" i="2" s="1"/>
  <c r="L192" i="2"/>
  <c r="G192" i="2" l="1"/>
  <c r="J192" i="2" s="1"/>
  <c r="H192" i="2" s="1"/>
  <c r="L193" i="2"/>
  <c r="G193" i="2" l="1"/>
  <c r="J193" i="2" s="1"/>
  <c r="H193" i="2" s="1"/>
  <c r="L194" i="2"/>
  <c r="L195" i="2" l="1"/>
  <c r="G194" i="2"/>
  <c r="J194" i="2" s="1"/>
  <c r="H194" i="2" s="1"/>
  <c r="G195" i="2" l="1"/>
  <c r="J195" i="2" s="1"/>
  <c r="H195" i="2" s="1"/>
  <c r="L196" i="2"/>
  <c r="L197" i="2" l="1"/>
  <c r="G196" i="2"/>
  <c r="J196" i="2" s="1"/>
  <c r="H196" i="2" s="1"/>
  <c r="G197" i="2" l="1"/>
  <c r="J197" i="2" s="1"/>
  <c r="H197" i="2" s="1"/>
  <c r="L198" i="2"/>
  <c r="G198" i="2" l="1"/>
  <c r="J198" i="2" s="1"/>
  <c r="H198" i="2" s="1"/>
  <c r="L199" i="2"/>
  <c r="L200" i="2" l="1"/>
  <c r="G199" i="2"/>
  <c r="J199" i="2" s="1"/>
  <c r="H199" i="2" s="1"/>
  <c r="G200" i="2" l="1"/>
  <c r="J200" i="2" s="1"/>
  <c r="H200" i="2" s="1"/>
  <c r="L201" i="2"/>
  <c r="G201" i="2" l="1"/>
  <c r="J201" i="2" s="1"/>
  <c r="H201" i="2" s="1"/>
  <c r="L202" i="2"/>
  <c r="G202" i="2" l="1"/>
  <c r="J202" i="2" s="1"/>
  <c r="H202" i="2" s="1"/>
  <c r="L203" i="2"/>
  <c r="G203" i="2" l="1"/>
  <c r="J203" i="2" s="1"/>
  <c r="H203" i="2" s="1"/>
  <c r="L204" i="2"/>
  <c r="L205" i="2" l="1"/>
  <c r="G204" i="2"/>
  <c r="J204" i="2" s="1"/>
  <c r="H204" i="2" s="1"/>
  <c r="G205" i="2" l="1"/>
  <c r="J205" i="2" s="1"/>
  <c r="H205" i="2" s="1"/>
  <c r="L206" i="2"/>
  <c r="G206" i="2" l="1"/>
  <c r="J206" i="2" s="1"/>
  <c r="H206" i="2" s="1"/>
  <c r="L207" i="2"/>
  <c r="G207" i="2" l="1"/>
  <c r="J207" i="2" s="1"/>
  <c r="H207" i="2" s="1"/>
  <c r="L208" i="2"/>
  <c r="G208" i="2" l="1"/>
  <c r="J208" i="2" s="1"/>
  <c r="H208" i="2" s="1"/>
  <c r="L209" i="2"/>
  <c r="L210" i="2" l="1"/>
  <c r="G209" i="2"/>
  <c r="J209" i="2" s="1"/>
  <c r="H209" i="2" s="1"/>
  <c r="G210" i="2" l="1"/>
  <c r="J210" i="2" s="1"/>
  <c r="H210" i="2" s="1"/>
  <c r="L211" i="2"/>
  <c r="G211" i="2" l="1"/>
  <c r="J211" i="2" s="1"/>
  <c r="H211" i="2" s="1"/>
  <c r="L212" i="2"/>
  <c r="G212" i="2" l="1"/>
  <c r="J212" i="2" s="1"/>
  <c r="H212" i="2" s="1"/>
  <c r="L213" i="2"/>
  <c r="L214" i="2" l="1"/>
  <c r="G213" i="2"/>
  <c r="J213" i="2" s="1"/>
  <c r="H213" i="2" s="1"/>
  <c r="L215" i="2" l="1"/>
  <c r="G214" i="2"/>
  <c r="J214" i="2" s="1"/>
  <c r="H214" i="2" s="1"/>
  <c r="G215" i="2" l="1"/>
  <c r="J215" i="2" s="1"/>
  <c r="H215" i="2" s="1"/>
  <c r="L216" i="2"/>
  <c r="G216" i="2" l="1"/>
  <c r="J216" i="2" s="1"/>
  <c r="H216" i="2" s="1"/>
  <c r="L217" i="2"/>
  <c r="G217" i="2" l="1"/>
  <c r="J217" i="2" s="1"/>
  <c r="H217" i="2" s="1"/>
  <c r="L218" i="2"/>
  <c r="G218" i="2" l="1"/>
  <c r="J218" i="2" s="1"/>
  <c r="H218" i="2" s="1"/>
  <c r="L219" i="2"/>
  <c r="L220" i="2" l="1"/>
  <c r="G219" i="2"/>
  <c r="J219" i="2" s="1"/>
  <c r="H219" i="2" s="1"/>
  <c r="G220" i="2" l="1"/>
  <c r="J220" i="2" s="1"/>
  <c r="H220" i="2" s="1"/>
  <c r="L221" i="2"/>
  <c r="L222" i="2" l="1"/>
  <c r="G221" i="2"/>
  <c r="J221" i="2" s="1"/>
  <c r="H221" i="2" s="1"/>
  <c r="G222" i="2" l="1"/>
  <c r="J222" i="2" s="1"/>
  <c r="H222" i="2" s="1"/>
  <c r="L223" i="2"/>
  <c r="G223" i="2" l="1"/>
  <c r="J223" i="2" s="1"/>
  <c r="H223" i="2" s="1"/>
  <c r="L224" i="2"/>
  <c r="L225" i="2" l="1"/>
  <c r="G224" i="2"/>
  <c r="J224" i="2" s="1"/>
  <c r="H224" i="2" s="1"/>
  <c r="G225" i="2" l="1"/>
  <c r="J225" i="2" s="1"/>
  <c r="H225" i="2" s="1"/>
  <c r="L226" i="2"/>
  <c r="G226" i="2" l="1"/>
  <c r="J226" i="2" s="1"/>
  <c r="H226" i="2" s="1"/>
  <c r="L227" i="2"/>
  <c r="G227" i="2" l="1"/>
  <c r="J227" i="2" s="1"/>
  <c r="H227" i="2" s="1"/>
  <c r="L228" i="2"/>
  <c r="G228" i="2" l="1"/>
  <c r="J228" i="2" s="1"/>
  <c r="H228" i="2" s="1"/>
  <c r="L229" i="2"/>
  <c r="L230" i="2" l="1"/>
  <c r="G229" i="2"/>
  <c r="J229" i="2" s="1"/>
  <c r="H229" i="2" s="1"/>
  <c r="G230" i="2" l="1"/>
  <c r="J230" i="2" s="1"/>
  <c r="H230" i="2" s="1"/>
  <c r="L231" i="2"/>
  <c r="G231" i="2" l="1"/>
  <c r="J231" i="2" s="1"/>
  <c r="H231" i="2" s="1"/>
  <c r="L232" i="2"/>
  <c r="G232" i="2" l="1"/>
  <c r="J232" i="2" s="1"/>
  <c r="H232" i="2" s="1"/>
  <c r="L233" i="2"/>
  <c r="G233" i="2" l="1"/>
  <c r="J233" i="2" s="1"/>
  <c r="H233" i="2" s="1"/>
  <c r="L234" i="2"/>
  <c r="L235" i="2" l="1"/>
  <c r="G234" i="2"/>
  <c r="J234" i="2" s="1"/>
  <c r="H234" i="2" s="1"/>
  <c r="G235" i="2" l="1"/>
  <c r="J235" i="2" s="1"/>
  <c r="H235" i="2" s="1"/>
  <c r="L236" i="2"/>
  <c r="L237" i="2" l="1"/>
  <c r="G236" i="2"/>
  <c r="J236" i="2" s="1"/>
  <c r="H236" i="2" s="1"/>
  <c r="G237" i="2" l="1"/>
  <c r="J237" i="2" s="1"/>
  <c r="H237" i="2" s="1"/>
  <c r="L238" i="2"/>
  <c r="L239" i="2" l="1"/>
  <c r="G238" i="2"/>
  <c r="J238" i="2" s="1"/>
  <c r="H238" i="2" s="1"/>
  <c r="L240" i="2" l="1"/>
  <c r="G239" i="2"/>
  <c r="J239" i="2" s="1"/>
  <c r="H239" i="2" s="1"/>
  <c r="G240" i="2" l="1"/>
  <c r="J240" i="2" s="1"/>
  <c r="H240" i="2" s="1"/>
  <c r="L241" i="2"/>
  <c r="G241" i="2" l="1"/>
  <c r="J241" i="2" s="1"/>
  <c r="H241" i="2" s="1"/>
  <c r="L242" i="2"/>
  <c r="G242" i="2" l="1"/>
  <c r="J242" i="2" s="1"/>
  <c r="H242" i="2" s="1"/>
  <c r="L243" i="2"/>
  <c r="G243" i="2" l="1"/>
  <c r="J243" i="2" s="1"/>
  <c r="H243" i="2" s="1"/>
  <c r="L244" i="2"/>
  <c r="L245" i="2" l="1"/>
  <c r="G244" i="2"/>
  <c r="J244" i="2" s="1"/>
  <c r="H244" i="2" s="1"/>
  <c r="G245" i="2" l="1"/>
  <c r="J245" i="2" s="1"/>
  <c r="H245" i="2" s="1"/>
  <c r="L246" i="2"/>
  <c r="G246" i="2" l="1"/>
  <c r="J246" i="2" s="1"/>
  <c r="H246" i="2" s="1"/>
  <c r="L247" i="2"/>
  <c r="L248" i="2" l="1"/>
  <c r="G247" i="2"/>
  <c r="J247" i="2" s="1"/>
  <c r="H247" i="2" s="1"/>
  <c r="G248" i="2" l="1"/>
  <c r="J248" i="2" s="1"/>
  <c r="H248" i="2" s="1"/>
  <c r="L249" i="2"/>
  <c r="L250" i="2" l="1"/>
  <c r="G249" i="2"/>
  <c r="J249" i="2" s="1"/>
  <c r="H249" i="2" s="1"/>
  <c r="G250" i="2" l="1"/>
  <c r="J250" i="2" s="1"/>
  <c r="H250" i="2" s="1"/>
  <c r="L251" i="2"/>
  <c r="L252" i="2" l="1"/>
  <c r="G251" i="2"/>
  <c r="J251" i="2" s="1"/>
  <c r="H251" i="2" s="1"/>
  <c r="G252" i="2" l="1"/>
  <c r="J252" i="2" s="1"/>
  <c r="H252" i="2" s="1"/>
  <c r="L253" i="2"/>
  <c r="L254" i="2" l="1"/>
  <c r="G253" i="2"/>
  <c r="J253" i="2" s="1"/>
  <c r="H253" i="2" s="1"/>
  <c r="L255" i="2" l="1"/>
  <c r="G254" i="2"/>
  <c r="J254" i="2" s="1"/>
  <c r="H254" i="2" s="1"/>
  <c r="L256" i="2" l="1"/>
  <c r="G255" i="2"/>
  <c r="J255" i="2" s="1"/>
  <c r="H255" i="2" s="1"/>
  <c r="G256" i="2" l="1"/>
  <c r="J256" i="2" s="1"/>
  <c r="H256" i="2" s="1"/>
  <c r="L257" i="2"/>
  <c r="G257" i="2" l="1"/>
  <c r="J257" i="2" s="1"/>
  <c r="H257" i="2" s="1"/>
  <c r="L258" i="2"/>
  <c r="G258" i="2" l="1"/>
  <c r="J258" i="2" s="1"/>
  <c r="H258" i="2" s="1"/>
  <c r="L259" i="2"/>
  <c r="L260" i="2" l="1"/>
  <c r="G259" i="2"/>
  <c r="J259" i="2" s="1"/>
  <c r="H259" i="2" s="1"/>
  <c r="G260" i="2" l="1"/>
  <c r="J260" i="2" s="1"/>
  <c r="H260" i="2" s="1"/>
  <c r="L261" i="2"/>
  <c r="G261" i="2" l="1"/>
  <c r="J261" i="2" s="1"/>
  <c r="H261" i="2" s="1"/>
  <c r="L262" i="2"/>
  <c r="G262" i="2" l="1"/>
  <c r="J262" i="2" s="1"/>
  <c r="H262" i="2" s="1"/>
  <c r="L263" i="2"/>
  <c r="G263" i="2" l="1"/>
  <c r="J263" i="2" s="1"/>
  <c r="H263" i="2" s="1"/>
  <c r="L264" i="2"/>
  <c r="L265" i="2" l="1"/>
  <c r="G264" i="2"/>
  <c r="J264" i="2" s="1"/>
  <c r="H264" i="2" s="1"/>
  <c r="G265" i="2" l="1"/>
  <c r="J265" i="2" s="1"/>
  <c r="H265" i="2" s="1"/>
  <c r="L266" i="2"/>
  <c r="L267" i="2" l="1"/>
  <c r="G266" i="2"/>
  <c r="J266" i="2" s="1"/>
  <c r="H266" i="2" s="1"/>
  <c r="G267" i="2" l="1"/>
  <c r="J267" i="2" s="1"/>
  <c r="H267" i="2" s="1"/>
  <c r="L268" i="2"/>
  <c r="L269" i="2" l="1"/>
  <c r="G268" i="2"/>
  <c r="J268" i="2" s="1"/>
  <c r="H268" i="2" s="1"/>
  <c r="L270" i="2" l="1"/>
  <c r="G269" i="2"/>
  <c r="J269" i="2" s="1"/>
  <c r="H269" i="2" s="1"/>
  <c r="G270" i="2" l="1"/>
  <c r="J270" i="2" s="1"/>
  <c r="H270" i="2" s="1"/>
  <c r="L271" i="2"/>
  <c r="G271" i="2" l="1"/>
  <c r="J271" i="2" s="1"/>
  <c r="H271" i="2" s="1"/>
  <c r="L272" i="2"/>
  <c r="G272" i="2" l="1"/>
  <c r="J272" i="2" s="1"/>
  <c r="H272" i="2" s="1"/>
  <c r="L273" i="2"/>
  <c r="G273" i="2" l="1"/>
  <c r="J273" i="2" s="1"/>
  <c r="H273" i="2" s="1"/>
  <c r="L274" i="2"/>
  <c r="L275" i="2" l="1"/>
  <c r="G274" i="2"/>
  <c r="J274" i="2" s="1"/>
  <c r="H274" i="2" s="1"/>
  <c r="G275" i="2" l="1"/>
  <c r="J275" i="2" s="1"/>
  <c r="H275" i="2" s="1"/>
  <c r="L276" i="2"/>
  <c r="L277" i="2" l="1"/>
  <c r="G276" i="2"/>
  <c r="J276" i="2" s="1"/>
  <c r="H276" i="2" s="1"/>
  <c r="G277" i="2" l="1"/>
  <c r="J277" i="2" s="1"/>
  <c r="H277" i="2" s="1"/>
  <c r="L278" i="2"/>
  <c r="G278" i="2" l="1"/>
  <c r="J278" i="2" s="1"/>
  <c r="H278" i="2" s="1"/>
  <c r="L279" i="2"/>
  <c r="L280" i="2" l="1"/>
  <c r="G279" i="2"/>
  <c r="J279" i="2" s="1"/>
  <c r="H279" i="2" s="1"/>
  <c r="L281" i="2" l="1"/>
  <c r="G280" i="2"/>
  <c r="J280" i="2" s="1"/>
  <c r="H280" i="2" s="1"/>
  <c r="G281" i="2" l="1"/>
  <c r="J281" i="2" s="1"/>
  <c r="H281" i="2" s="1"/>
  <c r="L282" i="2"/>
  <c r="G282" i="2" l="1"/>
  <c r="J282" i="2" s="1"/>
  <c r="H282" i="2" s="1"/>
  <c r="L283" i="2"/>
  <c r="G283" i="2" l="1"/>
  <c r="J283" i="2" s="1"/>
  <c r="H283" i="2" s="1"/>
  <c r="L284" i="2"/>
  <c r="L285" i="2" l="1"/>
  <c r="G284" i="2"/>
  <c r="J284" i="2" s="1"/>
  <c r="H284" i="2" s="1"/>
  <c r="G285" i="2" l="1"/>
  <c r="J285" i="2" s="1"/>
  <c r="H285" i="2" s="1"/>
  <c r="L286" i="2"/>
  <c r="G286" i="2" l="1"/>
  <c r="J286" i="2" s="1"/>
  <c r="H286" i="2" s="1"/>
  <c r="L287" i="2"/>
  <c r="G287" i="2" l="1"/>
  <c r="J287" i="2" s="1"/>
  <c r="H287" i="2" s="1"/>
  <c r="L288" i="2"/>
  <c r="G288" i="2" l="1"/>
  <c r="J288" i="2" s="1"/>
  <c r="H288" i="2" s="1"/>
  <c r="L289" i="2"/>
  <c r="G289" i="2" l="1"/>
  <c r="J289" i="2" s="1"/>
  <c r="H289" i="2" s="1"/>
  <c r="L290" i="2"/>
  <c r="G290" i="2" l="1"/>
  <c r="J290" i="2" s="1"/>
  <c r="H290" i="2" s="1"/>
  <c r="L291" i="2"/>
  <c r="G291" i="2" l="1"/>
  <c r="J291" i="2" s="1"/>
  <c r="H291" i="2" s="1"/>
  <c r="L292" i="2"/>
  <c r="G292" i="2" l="1"/>
  <c r="J292" i="2" s="1"/>
  <c r="H292" i="2" s="1"/>
  <c r="L293" i="2"/>
  <c r="G293" i="2" l="1"/>
  <c r="J293" i="2" s="1"/>
  <c r="H293" i="2" s="1"/>
  <c r="L294" i="2"/>
  <c r="L295" i="2" l="1"/>
  <c r="G294" i="2"/>
  <c r="J294" i="2" s="1"/>
  <c r="H294" i="2" s="1"/>
  <c r="G295" i="2" l="1"/>
  <c r="J295" i="2" s="1"/>
  <c r="H295" i="2" s="1"/>
  <c r="L296" i="2"/>
  <c r="G296" i="2" l="1"/>
  <c r="J296" i="2" s="1"/>
  <c r="H296" i="2" s="1"/>
  <c r="L297" i="2"/>
  <c r="G297" i="2" l="1"/>
  <c r="J297" i="2" s="1"/>
  <c r="H297" i="2" s="1"/>
  <c r="L298" i="2"/>
  <c r="G298" i="2" l="1"/>
  <c r="J298" i="2" s="1"/>
  <c r="H298" i="2" s="1"/>
  <c r="L299" i="2"/>
  <c r="G299" i="2" l="1"/>
  <c r="J299" i="2" s="1"/>
  <c r="H299" i="2" s="1"/>
  <c r="L300" i="2"/>
  <c r="G300" i="2" l="1"/>
  <c r="J300" i="2" s="1"/>
  <c r="H300" i="2" s="1"/>
  <c r="L301" i="2"/>
  <c r="G301" i="2" l="1"/>
  <c r="J301" i="2" s="1"/>
  <c r="H301" i="2" s="1"/>
  <c r="L302" i="2"/>
  <c r="G302" i="2" l="1"/>
  <c r="J302" i="2" s="1"/>
  <c r="H302" i="2" s="1"/>
  <c r="L303" i="2"/>
  <c r="G303" i="2" l="1"/>
  <c r="J303" i="2" s="1"/>
  <c r="H303" i="2" s="1"/>
  <c r="L304" i="2"/>
  <c r="G304" i="2" l="1"/>
  <c r="J304" i="2" s="1"/>
  <c r="H304" i="2" s="1"/>
  <c r="L305" i="2"/>
  <c r="G305" i="2" l="1"/>
  <c r="J305" i="2" s="1"/>
  <c r="H305" i="2" s="1"/>
  <c r="L306" i="2"/>
  <c r="G306" i="2" l="1"/>
  <c r="J306" i="2" s="1"/>
  <c r="H306" i="2" s="1"/>
  <c r="L307" i="2"/>
  <c r="G307" i="2" l="1"/>
  <c r="J307" i="2" s="1"/>
  <c r="H307" i="2" s="1"/>
  <c r="L308" i="2"/>
  <c r="G308" i="2" l="1"/>
  <c r="J308" i="2" s="1"/>
  <c r="H308" i="2" s="1"/>
  <c r="L309" i="2"/>
  <c r="G309" i="2" l="1"/>
  <c r="J309" i="2" s="1"/>
  <c r="H309" i="2" s="1"/>
  <c r="L310" i="2"/>
  <c r="G310" i="2" l="1"/>
  <c r="J310" i="2" s="1"/>
  <c r="H310" i="2" s="1"/>
  <c r="L311" i="2"/>
  <c r="G311" i="2" l="1"/>
  <c r="J311" i="2" s="1"/>
  <c r="H311" i="2" s="1"/>
  <c r="L312" i="2"/>
  <c r="G312" i="2" l="1"/>
  <c r="J312" i="2" s="1"/>
  <c r="H312" i="2" s="1"/>
  <c r="L313" i="2"/>
  <c r="G313" i="2" l="1"/>
  <c r="J313" i="2" s="1"/>
  <c r="H313" i="2" s="1"/>
  <c r="L314" i="2"/>
  <c r="G314" i="2" l="1"/>
  <c r="J314" i="2" s="1"/>
  <c r="H314" i="2" s="1"/>
  <c r="L315" i="2"/>
  <c r="G315" i="2" l="1"/>
  <c r="J315" i="2" s="1"/>
  <c r="H315" i="2" s="1"/>
  <c r="L316" i="2"/>
  <c r="G316" i="2" l="1"/>
  <c r="J316" i="2" s="1"/>
  <c r="H316" i="2" s="1"/>
  <c r="L317" i="2"/>
  <c r="G317" i="2" l="1"/>
  <c r="J317" i="2" s="1"/>
  <c r="H317" i="2" s="1"/>
  <c r="L318" i="2"/>
  <c r="G318" i="2" l="1"/>
  <c r="J318" i="2" s="1"/>
  <c r="H318" i="2" s="1"/>
  <c r="L319" i="2"/>
  <c r="G319" i="2" l="1"/>
  <c r="J319" i="2" s="1"/>
  <c r="H319" i="2" s="1"/>
  <c r="L320" i="2"/>
  <c r="G320" i="2" l="1"/>
  <c r="J320" i="2" s="1"/>
  <c r="H320" i="2" s="1"/>
  <c r="L321" i="2"/>
  <c r="G321" i="2" l="1"/>
  <c r="J321" i="2" s="1"/>
  <c r="H321" i="2" s="1"/>
  <c r="L322" i="2"/>
  <c r="G322" i="2" l="1"/>
  <c r="J322" i="2" s="1"/>
  <c r="H322" i="2" s="1"/>
  <c r="L323" i="2"/>
  <c r="G323" i="2" l="1"/>
  <c r="J323" i="2" s="1"/>
  <c r="H323" i="2" s="1"/>
  <c r="L324" i="2"/>
  <c r="G324" i="2" l="1"/>
  <c r="J324" i="2" s="1"/>
  <c r="H324" i="2" s="1"/>
  <c r="L325" i="2"/>
  <c r="G325" i="2" l="1"/>
  <c r="J325" i="2" s="1"/>
  <c r="H325" i="2" s="1"/>
  <c r="L326" i="2"/>
  <c r="G326" i="2" l="1"/>
  <c r="J326" i="2" s="1"/>
  <c r="H326" i="2" s="1"/>
  <c r="L327" i="2"/>
  <c r="G327" i="2" l="1"/>
  <c r="J327" i="2" s="1"/>
  <c r="H327" i="2" s="1"/>
  <c r="L328" i="2"/>
  <c r="G328" i="2" l="1"/>
  <c r="J328" i="2" s="1"/>
  <c r="H328" i="2" s="1"/>
  <c r="L329" i="2"/>
  <c r="G329" i="2" l="1"/>
  <c r="J329" i="2" s="1"/>
  <c r="H329" i="2" s="1"/>
  <c r="L330" i="2"/>
  <c r="G330" i="2" l="1"/>
  <c r="J330" i="2" s="1"/>
  <c r="H330" i="2" s="1"/>
  <c r="L331" i="2"/>
  <c r="G331" i="2" l="1"/>
  <c r="J331" i="2" s="1"/>
  <c r="H331" i="2" s="1"/>
  <c r="L332" i="2"/>
  <c r="G332" i="2" l="1"/>
  <c r="J332" i="2" s="1"/>
  <c r="H332" i="2" s="1"/>
  <c r="L333" i="2"/>
  <c r="G333" i="2" l="1"/>
  <c r="J333" i="2" s="1"/>
  <c r="H333" i="2" s="1"/>
  <c r="L334" i="2"/>
  <c r="G334" i="2" l="1"/>
  <c r="J334" i="2" s="1"/>
  <c r="H334" i="2" s="1"/>
  <c r="L335" i="2"/>
  <c r="G335" i="2" l="1"/>
  <c r="J335" i="2" s="1"/>
  <c r="H335" i="2" s="1"/>
  <c r="L336" i="2"/>
  <c r="G336" i="2" l="1"/>
  <c r="J336" i="2" s="1"/>
  <c r="H336" i="2" s="1"/>
  <c r="L337" i="2"/>
  <c r="G337" i="2" l="1"/>
  <c r="J337" i="2" s="1"/>
  <c r="H337" i="2" s="1"/>
  <c r="L338" i="2"/>
  <c r="G338" i="2" l="1"/>
  <c r="J338" i="2" s="1"/>
  <c r="H338" i="2" s="1"/>
  <c r="L339" i="2"/>
  <c r="G339" i="2" l="1"/>
  <c r="J339" i="2" s="1"/>
  <c r="H339" i="2" s="1"/>
  <c r="L340" i="2"/>
  <c r="G340" i="2" l="1"/>
  <c r="J340" i="2" s="1"/>
  <c r="H340" i="2" s="1"/>
  <c r="L341" i="2"/>
  <c r="G341" i="2" l="1"/>
  <c r="J341" i="2" s="1"/>
  <c r="H341" i="2" s="1"/>
  <c r="L342" i="2"/>
  <c r="G342" i="2" l="1"/>
  <c r="J342" i="2" s="1"/>
  <c r="H342" i="2" s="1"/>
  <c r="L343" i="2"/>
  <c r="G343" i="2" l="1"/>
  <c r="J343" i="2" s="1"/>
  <c r="H343" i="2" s="1"/>
  <c r="L344" i="2"/>
  <c r="G344" i="2" l="1"/>
  <c r="J344" i="2" s="1"/>
  <c r="H344" i="2" s="1"/>
  <c r="L345" i="2"/>
  <c r="G345" i="2" l="1"/>
  <c r="J345" i="2" s="1"/>
  <c r="H345" i="2" s="1"/>
  <c r="L346" i="2"/>
  <c r="G346" i="2" l="1"/>
  <c r="J346" i="2" s="1"/>
  <c r="H346" i="2" s="1"/>
  <c r="L347" i="2"/>
  <c r="G347" i="2" l="1"/>
  <c r="J347" i="2" s="1"/>
  <c r="H347" i="2" s="1"/>
  <c r="L348" i="2"/>
  <c r="G348" i="2" l="1"/>
  <c r="J348" i="2" s="1"/>
  <c r="H348" i="2" s="1"/>
  <c r="L349" i="2"/>
  <c r="L350" i="2" l="1"/>
  <c r="G349" i="2"/>
  <c r="J349" i="2" s="1"/>
  <c r="H349" i="2" s="1"/>
  <c r="G350" i="2" l="1"/>
  <c r="J350" i="2" s="1"/>
  <c r="H350" i="2" s="1"/>
  <c r="L351" i="2"/>
  <c r="G351" i="2" l="1"/>
  <c r="J351" i="2" s="1"/>
  <c r="H351" i="2" s="1"/>
  <c r="L352" i="2"/>
  <c r="G352" i="2" l="1"/>
  <c r="J352" i="2" s="1"/>
  <c r="H352" i="2" s="1"/>
  <c r="L353" i="2"/>
  <c r="G353" i="2" l="1"/>
  <c r="J353" i="2" s="1"/>
  <c r="H353" i="2" s="1"/>
  <c r="L354" i="2"/>
  <c r="G354" i="2" l="1"/>
  <c r="J354" i="2" s="1"/>
  <c r="H354" i="2" s="1"/>
  <c r="L355" i="2"/>
  <c r="G355" i="2" l="1"/>
  <c r="J355" i="2" s="1"/>
  <c r="H355" i="2" s="1"/>
  <c r="L356" i="2"/>
  <c r="G356" i="2" l="1"/>
  <c r="J356" i="2" s="1"/>
  <c r="H356" i="2" s="1"/>
  <c r="L357" i="2"/>
  <c r="G357" i="2" l="1"/>
  <c r="J357" i="2" s="1"/>
  <c r="H357" i="2" s="1"/>
  <c r="L358" i="2"/>
  <c r="G358" i="2" l="1"/>
  <c r="J358" i="2" s="1"/>
  <c r="H358" i="2" s="1"/>
  <c r="L359" i="2"/>
  <c r="G359" i="2" l="1"/>
  <c r="J359" i="2" s="1"/>
  <c r="H359" i="2" s="1"/>
  <c r="L360" i="2"/>
  <c r="G360" i="2" l="1"/>
  <c r="J360" i="2" s="1"/>
  <c r="H360" i="2" s="1"/>
  <c r="L361" i="2"/>
  <c r="G361" i="2" l="1"/>
  <c r="J361" i="2" s="1"/>
  <c r="H361" i="2" s="1"/>
  <c r="L362" i="2"/>
  <c r="G362" i="2" l="1"/>
  <c r="J362" i="2" s="1"/>
  <c r="H362" i="2" s="1"/>
  <c r="L363" i="2"/>
  <c r="G363" i="2" l="1"/>
  <c r="J363" i="2" s="1"/>
  <c r="H363" i="2" s="1"/>
  <c r="L364" i="2"/>
  <c r="G364" i="2" l="1"/>
  <c r="J364" i="2" s="1"/>
  <c r="H364" i="2" s="1"/>
  <c r="L365" i="2"/>
  <c r="G365" i="2" l="1"/>
  <c r="J365" i="2" s="1"/>
  <c r="H365" i="2" s="1"/>
  <c r="L366" i="2"/>
  <c r="G366" i="2" l="1"/>
  <c r="J366" i="2" s="1"/>
  <c r="H366" i="2" s="1"/>
  <c r="L367" i="2"/>
  <c r="G367" i="2" l="1"/>
  <c r="J367" i="2" s="1"/>
  <c r="H367" i="2" s="1"/>
  <c r="L368" i="2"/>
  <c r="G368" i="2" l="1"/>
  <c r="J368" i="2" s="1"/>
  <c r="H368" i="2" s="1"/>
  <c r="L369" i="2"/>
  <c r="G369" i="2" l="1"/>
  <c r="J369" i="2" s="1"/>
  <c r="H369" i="2" s="1"/>
  <c r="L370" i="2"/>
  <c r="G370" i="2" l="1"/>
  <c r="J370" i="2" s="1"/>
  <c r="H370" i="2" s="1"/>
  <c r="L371" i="2"/>
  <c r="G371" i="2" l="1"/>
  <c r="J371" i="2" s="1"/>
  <c r="H371" i="2" s="1"/>
  <c r="L372" i="2"/>
  <c r="G372" i="2" l="1"/>
  <c r="J372" i="2" s="1"/>
  <c r="H372" i="2" s="1"/>
  <c r="L373" i="2"/>
  <c r="G373" i="2" l="1"/>
  <c r="J373" i="2" s="1"/>
  <c r="H373" i="2" s="1"/>
  <c r="L374" i="2"/>
  <c r="G374" i="2" l="1"/>
  <c r="J374" i="2" s="1"/>
  <c r="H374" i="2" s="1"/>
  <c r="L375" i="2"/>
  <c r="G375" i="2" l="1"/>
  <c r="J375" i="2" s="1"/>
  <c r="H375" i="2" s="1"/>
  <c r="L376" i="2"/>
  <c r="L377" i="2" l="1"/>
  <c r="G376" i="2"/>
  <c r="J376" i="2" s="1"/>
  <c r="H376" i="2" s="1"/>
  <c r="G377" i="2" l="1"/>
  <c r="J377" i="2" s="1"/>
  <c r="H377" i="2" s="1"/>
  <c r="L378" i="2"/>
  <c r="G378" i="2" l="1"/>
  <c r="J378" i="2" s="1"/>
  <c r="H378" i="2" s="1"/>
  <c r="L379" i="2"/>
  <c r="L380" i="2" l="1"/>
  <c r="G379" i="2"/>
  <c r="J379" i="2" s="1"/>
  <c r="H379" i="2" s="1"/>
  <c r="G380" i="2" l="1"/>
  <c r="J380" i="2" s="1"/>
  <c r="H380" i="2" s="1"/>
  <c r="L381" i="2"/>
  <c r="G381" i="2" l="1"/>
  <c r="J381" i="2" s="1"/>
  <c r="H381" i="2" s="1"/>
  <c r="L382" i="2"/>
  <c r="G382" i="2" l="1"/>
  <c r="J382" i="2" s="1"/>
  <c r="H382" i="2" s="1"/>
  <c r="L383" i="2"/>
  <c r="G383" i="2" l="1"/>
  <c r="J383" i="2" s="1"/>
  <c r="H383" i="2" s="1"/>
  <c r="L384" i="2"/>
  <c r="G384" i="2" l="1"/>
  <c r="J384" i="2" s="1"/>
  <c r="H384" i="2" s="1"/>
  <c r="L385" i="2"/>
  <c r="G385" i="2" l="1"/>
  <c r="J385" i="2" s="1"/>
  <c r="H385" i="2" s="1"/>
  <c r="L386" i="2"/>
  <c r="G386" i="2" l="1"/>
  <c r="J386" i="2" s="1"/>
  <c r="H386" i="2" s="1"/>
  <c r="L387" i="2"/>
  <c r="G387" i="2" l="1"/>
  <c r="J387" i="2" s="1"/>
  <c r="H387" i="2" s="1"/>
  <c r="L388" i="2"/>
  <c r="G388" i="2" l="1"/>
  <c r="J388" i="2" s="1"/>
  <c r="H388" i="2" s="1"/>
  <c r="L389" i="2"/>
  <c r="G389" i="2" l="1"/>
  <c r="J389" i="2" s="1"/>
  <c r="H389" i="2" s="1"/>
  <c r="L390" i="2"/>
  <c r="G390" i="2" l="1"/>
  <c r="J390" i="2" s="1"/>
  <c r="H390" i="2" s="1"/>
  <c r="L391" i="2"/>
  <c r="G391" i="2" l="1"/>
  <c r="J391" i="2" s="1"/>
  <c r="H391" i="2" s="1"/>
  <c r="L392" i="2"/>
  <c r="G392" i="2" l="1"/>
  <c r="J392" i="2" s="1"/>
  <c r="H392" i="2" s="1"/>
  <c r="L393" i="2"/>
  <c r="G393" i="2" l="1"/>
  <c r="J393" i="2" s="1"/>
  <c r="H393" i="2" s="1"/>
  <c r="L394" i="2"/>
  <c r="G394" i="2" l="1"/>
  <c r="J394" i="2" s="1"/>
  <c r="H394" i="2" s="1"/>
  <c r="L395" i="2"/>
  <c r="G395" i="2" l="1"/>
  <c r="J395" i="2" s="1"/>
  <c r="H395" i="2" s="1"/>
  <c r="L396" i="2"/>
  <c r="G396" i="2" l="1"/>
  <c r="J396" i="2" s="1"/>
  <c r="H396" i="2" s="1"/>
  <c r="L397" i="2"/>
  <c r="G397" i="2" l="1"/>
  <c r="J397" i="2" s="1"/>
  <c r="H397" i="2" s="1"/>
  <c r="L398" i="2"/>
  <c r="G398" i="2" l="1"/>
  <c r="J398" i="2" s="1"/>
  <c r="H398" i="2" s="1"/>
  <c r="L399" i="2"/>
  <c r="L400" i="2" l="1"/>
  <c r="G399" i="2"/>
  <c r="J399" i="2" s="1"/>
  <c r="H399" i="2" s="1"/>
  <c r="G400" i="2" l="1"/>
  <c r="J400" i="2" s="1"/>
  <c r="H400" i="2" s="1"/>
  <c r="L401" i="2"/>
  <c r="G401" i="2" l="1"/>
  <c r="J401" i="2" s="1"/>
  <c r="H401" i="2" s="1"/>
  <c r="L402" i="2"/>
  <c r="G402" i="2" l="1"/>
  <c r="J402" i="2" s="1"/>
  <c r="H402" i="2" s="1"/>
  <c r="L403" i="2"/>
  <c r="G403" i="2" l="1"/>
  <c r="J403" i="2" s="1"/>
  <c r="H403" i="2" s="1"/>
  <c r="L404" i="2"/>
  <c r="G404" i="2" l="1"/>
  <c r="J404" i="2" s="1"/>
  <c r="H404" i="2" s="1"/>
  <c r="L405" i="2"/>
  <c r="G405" i="2" l="1"/>
  <c r="J405" i="2" s="1"/>
  <c r="H405" i="2" s="1"/>
  <c r="L406" i="2"/>
  <c r="G406" i="2" l="1"/>
  <c r="J406" i="2" s="1"/>
  <c r="H406" i="2" s="1"/>
  <c r="L407" i="2"/>
  <c r="G407" i="2" l="1"/>
  <c r="J407" i="2" s="1"/>
  <c r="H407" i="2" s="1"/>
  <c r="L408" i="2"/>
  <c r="G408" i="2" l="1"/>
  <c r="J408" i="2" s="1"/>
  <c r="H408" i="2" s="1"/>
  <c r="L409" i="2"/>
  <c r="G409" i="2" l="1"/>
  <c r="J409" i="2" s="1"/>
  <c r="H409" i="2" s="1"/>
  <c r="L410" i="2"/>
  <c r="G410" i="2" l="1"/>
  <c r="J410" i="2" s="1"/>
  <c r="H410" i="2" s="1"/>
  <c r="L411" i="2"/>
  <c r="G411" i="2" l="1"/>
  <c r="J411" i="2" s="1"/>
  <c r="H411" i="2" s="1"/>
  <c r="L412" i="2"/>
  <c r="G412" i="2" l="1"/>
  <c r="J412" i="2" s="1"/>
  <c r="H412" i="2" s="1"/>
  <c r="L413" i="2"/>
  <c r="G413" i="2" l="1"/>
  <c r="J413" i="2" s="1"/>
  <c r="H413" i="2" s="1"/>
  <c r="L414" i="2"/>
  <c r="G414" i="2" l="1"/>
  <c r="J414" i="2" s="1"/>
  <c r="H414" i="2" s="1"/>
  <c r="L415" i="2"/>
  <c r="G415" i="2" l="1"/>
  <c r="J415" i="2" s="1"/>
  <c r="H415" i="2" s="1"/>
  <c r="L416" i="2"/>
  <c r="G416" i="2" l="1"/>
  <c r="J416" i="2" s="1"/>
  <c r="H416" i="2" s="1"/>
  <c r="L417" i="2"/>
  <c r="G417" i="2" l="1"/>
  <c r="J417" i="2" s="1"/>
  <c r="H417" i="2" s="1"/>
  <c r="L418" i="2"/>
  <c r="G418" i="2" l="1"/>
  <c r="J418" i="2" s="1"/>
  <c r="H418" i="2" s="1"/>
  <c r="L419" i="2"/>
  <c r="G419" i="2" l="1"/>
  <c r="J419" i="2" s="1"/>
  <c r="H419" i="2" s="1"/>
  <c r="L420" i="2"/>
  <c r="G420" i="2" l="1"/>
  <c r="J420" i="2" s="1"/>
  <c r="H420" i="2" s="1"/>
  <c r="L421" i="2"/>
  <c r="G421" i="2" l="1"/>
  <c r="J421" i="2" s="1"/>
  <c r="H421" i="2" s="1"/>
  <c r="L422" i="2"/>
  <c r="G422" i="2" l="1"/>
  <c r="J422" i="2" s="1"/>
  <c r="H422" i="2" s="1"/>
  <c r="L423" i="2"/>
  <c r="G423" i="2" l="1"/>
  <c r="J423" i="2" s="1"/>
  <c r="H423" i="2" s="1"/>
  <c r="L424" i="2"/>
  <c r="G424" i="2" l="1"/>
  <c r="J424" i="2" s="1"/>
  <c r="H424" i="2" s="1"/>
  <c r="L425" i="2"/>
  <c r="G425" i="2" l="1"/>
  <c r="J425" i="2" s="1"/>
  <c r="H425" i="2" s="1"/>
  <c r="L426" i="2"/>
  <c r="G426" i="2" l="1"/>
  <c r="J426" i="2" s="1"/>
  <c r="H426" i="2" s="1"/>
  <c r="L427" i="2"/>
  <c r="G427" i="2" l="1"/>
  <c r="J427" i="2" s="1"/>
  <c r="H427" i="2" s="1"/>
  <c r="L428" i="2"/>
  <c r="G428" i="2" l="1"/>
  <c r="J428" i="2" s="1"/>
  <c r="H428" i="2" s="1"/>
  <c r="L429" i="2"/>
  <c r="G429" i="2" l="1"/>
  <c r="J429" i="2" s="1"/>
  <c r="H429" i="2" s="1"/>
  <c r="L430" i="2"/>
  <c r="G430" i="2" l="1"/>
  <c r="J430" i="2" s="1"/>
  <c r="H430" i="2" s="1"/>
  <c r="L431" i="2"/>
  <c r="G431" i="2" l="1"/>
  <c r="J431" i="2" s="1"/>
  <c r="H431" i="2" s="1"/>
  <c r="L432" i="2"/>
  <c r="G432" i="2" l="1"/>
  <c r="J432" i="2" s="1"/>
  <c r="H432" i="2" s="1"/>
  <c r="L433" i="2"/>
  <c r="G433" i="2" l="1"/>
  <c r="J433" i="2" s="1"/>
  <c r="H433" i="2" s="1"/>
  <c r="L434" i="2"/>
  <c r="G434" i="2" l="1"/>
  <c r="J434" i="2" s="1"/>
  <c r="H434" i="2" s="1"/>
  <c r="L435" i="2"/>
  <c r="G435" i="2" l="1"/>
  <c r="J435" i="2" s="1"/>
  <c r="H435" i="2" s="1"/>
  <c r="L436" i="2"/>
  <c r="G436" i="2" l="1"/>
  <c r="J436" i="2" s="1"/>
  <c r="H436" i="2" s="1"/>
  <c r="L437" i="2"/>
  <c r="L438" i="2" l="1"/>
  <c r="G437" i="2"/>
  <c r="J437" i="2" s="1"/>
  <c r="H437" i="2" s="1"/>
  <c r="G438" i="2" l="1"/>
  <c r="J438" i="2" s="1"/>
  <c r="H438" i="2" s="1"/>
  <c r="L439" i="2"/>
  <c r="L440" i="2" l="1"/>
  <c r="G439" i="2"/>
  <c r="J439" i="2" s="1"/>
  <c r="H439" i="2" s="1"/>
  <c r="G440" i="2" l="1"/>
  <c r="J440" i="2" s="1"/>
  <c r="H440" i="2" s="1"/>
  <c r="L441" i="2"/>
  <c r="L442" i="2" l="1"/>
  <c r="G441" i="2"/>
  <c r="J441" i="2" s="1"/>
  <c r="H441" i="2" s="1"/>
  <c r="L443" i="2" l="1"/>
  <c r="G442" i="2"/>
  <c r="J442" i="2" s="1"/>
  <c r="H442" i="2" s="1"/>
  <c r="L444" i="2" l="1"/>
  <c r="G443" i="2"/>
  <c r="J443" i="2" s="1"/>
  <c r="H443" i="2" s="1"/>
  <c r="G444" i="2" l="1"/>
  <c r="J444" i="2" s="1"/>
  <c r="H444" i="2" s="1"/>
  <c r="L445" i="2"/>
  <c r="G445" i="2" l="1"/>
  <c r="J445" i="2" s="1"/>
  <c r="H445" i="2" s="1"/>
  <c r="L446" i="2"/>
  <c r="L447" i="2" l="1"/>
  <c r="G446" i="2"/>
  <c r="J446" i="2" s="1"/>
  <c r="H446" i="2" s="1"/>
  <c r="L448" i="2" l="1"/>
  <c r="G447" i="2"/>
  <c r="J447" i="2" s="1"/>
  <c r="H447" i="2" s="1"/>
  <c r="G448" i="2" l="1"/>
  <c r="J448" i="2" s="1"/>
  <c r="H448" i="2" s="1"/>
  <c r="L449" i="2"/>
  <c r="G449" i="2" l="1"/>
  <c r="J449" i="2" s="1"/>
  <c r="H449" i="2" s="1"/>
  <c r="L450" i="2"/>
  <c r="L451" i="2" l="1"/>
  <c r="G450" i="2"/>
  <c r="J450" i="2" s="1"/>
  <c r="H450" i="2" s="1"/>
  <c r="L452" i="2" l="1"/>
  <c r="G451" i="2"/>
  <c r="J451" i="2" s="1"/>
  <c r="H451" i="2" s="1"/>
  <c r="L453" i="2" l="1"/>
  <c r="G452" i="2"/>
  <c r="J452" i="2" s="1"/>
  <c r="H452" i="2" s="1"/>
  <c r="G453" i="2" l="1"/>
  <c r="J453" i="2" s="1"/>
  <c r="H453" i="2" s="1"/>
  <c r="L454" i="2"/>
  <c r="L455" i="2" l="1"/>
  <c r="G454" i="2"/>
  <c r="J454" i="2" s="1"/>
  <c r="H454" i="2" s="1"/>
  <c r="L456" i="2" l="1"/>
  <c r="G455" i="2"/>
  <c r="J455" i="2" s="1"/>
  <c r="H455" i="2" s="1"/>
  <c r="G456" i="2" l="1"/>
  <c r="J456" i="2" s="1"/>
  <c r="H456" i="2" s="1"/>
  <c r="L457" i="2"/>
  <c r="G457" i="2" l="1"/>
  <c r="J457" i="2" s="1"/>
  <c r="H457" i="2" s="1"/>
  <c r="L458" i="2"/>
  <c r="L459" i="2" l="1"/>
  <c r="G458" i="2"/>
  <c r="J458" i="2" s="1"/>
  <c r="H458" i="2" s="1"/>
  <c r="L460" i="2" l="1"/>
  <c r="G459" i="2"/>
  <c r="J459" i="2" s="1"/>
  <c r="H459" i="2" s="1"/>
  <c r="L461" i="2" l="1"/>
  <c r="G460" i="2"/>
  <c r="J460" i="2" s="1"/>
  <c r="H460" i="2" s="1"/>
  <c r="G461" i="2" l="1"/>
  <c r="J461" i="2" s="1"/>
  <c r="H461" i="2" s="1"/>
  <c r="L462" i="2"/>
  <c r="L463" i="2" l="1"/>
  <c r="G462" i="2"/>
  <c r="J462" i="2" s="1"/>
  <c r="H462" i="2" s="1"/>
  <c r="L464" i="2" l="1"/>
  <c r="G463" i="2"/>
  <c r="J463" i="2" s="1"/>
  <c r="H463" i="2" s="1"/>
  <c r="G464" i="2" l="1"/>
  <c r="J464" i="2" s="1"/>
  <c r="H464" i="2" s="1"/>
  <c r="L465" i="2"/>
  <c r="G465" i="2" l="1"/>
  <c r="J465" i="2" s="1"/>
  <c r="H465" i="2" s="1"/>
  <c r="L466" i="2"/>
  <c r="L467" i="2" l="1"/>
  <c r="G466" i="2"/>
  <c r="J466" i="2" s="1"/>
  <c r="H466" i="2" s="1"/>
  <c r="L468" i="2" l="1"/>
  <c r="G467" i="2"/>
  <c r="J467" i="2" s="1"/>
  <c r="H467" i="2" s="1"/>
  <c r="G468" i="2" l="1"/>
  <c r="J468" i="2" s="1"/>
  <c r="H468" i="2" s="1"/>
  <c r="L469" i="2"/>
  <c r="G469" i="2" l="1"/>
  <c r="J469" i="2" s="1"/>
  <c r="H469" i="2" s="1"/>
  <c r="L470" i="2"/>
  <c r="L471" i="2" l="1"/>
  <c r="G470" i="2"/>
  <c r="J470" i="2" s="1"/>
  <c r="H470" i="2" s="1"/>
  <c r="L472" i="2" l="1"/>
  <c r="G471" i="2"/>
  <c r="J471" i="2" s="1"/>
  <c r="H471" i="2" s="1"/>
  <c r="L473" i="2" l="1"/>
  <c r="G472" i="2"/>
  <c r="J472" i="2" s="1"/>
  <c r="H472" i="2" s="1"/>
  <c r="G473" i="2" l="1"/>
  <c r="J473" i="2" s="1"/>
  <c r="H473" i="2" s="1"/>
  <c r="L474" i="2"/>
  <c r="L475" i="2" l="1"/>
  <c r="G474" i="2"/>
  <c r="J474" i="2" s="1"/>
  <c r="H474" i="2" s="1"/>
  <c r="L476" i="2" l="1"/>
  <c r="G475" i="2"/>
  <c r="J475" i="2" s="1"/>
  <c r="H475" i="2" s="1"/>
  <c r="L477" i="2" l="1"/>
  <c r="G476" i="2"/>
  <c r="J476" i="2" s="1"/>
  <c r="H476" i="2" s="1"/>
  <c r="G477" i="2" l="1"/>
  <c r="J477" i="2" s="1"/>
  <c r="H477" i="2" s="1"/>
  <c r="L478" i="2"/>
  <c r="L479" i="2" l="1"/>
  <c r="G478" i="2"/>
  <c r="J478" i="2" s="1"/>
  <c r="H478" i="2" s="1"/>
  <c r="L480" i="2" l="1"/>
  <c r="G479" i="2"/>
  <c r="J479" i="2" s="1"/>
  <c r="H479" i="2" s="1"/>
  <c r="L481" i="2" l="1"/>
  <c r="G480" i="2"/>
  <c r="J480" i="2" s="1"/>
  <c r="H480" i="2" s="1"/>
  <c r="G481" i="2" l="1"/>
  <c r="J481" i="2" s="1"/>
  <c r="H481" i="2" s="1"/>
  <c r="L482" i="2"/>
  <c r="L483" i="2" l="1"/>
  <c r="G482" i="2"/>
  <c r="J482" i="2" s="1"/>
  <c r="H482" i="2" s="1"/>
  <c r="L484" i="2" l="1"/>
  <c r="G483" i="2"/>
  <c r="J483" i="2" s="1"/>
  <c r="H483" i="2" s="1"/>
  <c r="L485" i="2" l="1"/>
  <c r="G484" i="2"/>
  <c r="J484" i="2" s="1"/>
  <c r="H484" i="2" s="1"/>
  <c r="G485" i="2" l="1"/>
  <c r="J485" i="2" s="1"/>
  <c r="H485" i="2" s="1"/>
  <c r="L486" i="2"/>
  <c r="L487" i="2" l="1"/>
  <c r="G486" i="2"/>
  <c r="J486" i="2" s="1"/>
  <c r="H486" i="2" s="1"/>
  <c r="L488" i="2" l="1"/>
  <c r="G487" i="2"/>
  <c r="J487" i="2" s="1"/>
  <c r="H487" i="2" s="1"/>
  <c r="L489" i="2" l="1"/>
  <c r="G488" i="2"/>
  <c r="J488" i="2" s="1"/>
  <c r="H488" i="2" s="1"/>
  <c r="G489" i="2" l="1"/>
  <c r="J489" i="2" s="1"/>
  <c r="H489" i="2" s="1"/>
  <c r="L490" i="2"/>
  <c r="L491" i="2" l="1"/>
  <c r="G490" i="2"/>
  <c r="J490" i="2" s="1"/>
  <c r="H490" i="2" s="1"/>
  <c r="L492" i="2" l="1"/>
  <c r="G491" i="2"/>
  <c r="J491" i="2" s="1"/>
  <c r="H491" i="2" s="1"/>
  <c r="L493" i="2" l="1"/>
  <c r="G492" i="2"/>
  <c r="J492" i="2" s="1"/>
  <c r="H492" i="2" s="1"/>
  <c r="G493" i="2" l="1"/>
  <c r="J493" i="2" s="1"/>
  <c r="H493" i="2" s="1"/>
  <c r="L494" i="2"/>
  <c r="L495" i="2" l="1"/>
  <c r="G494" i="2"/>
  <c r="J494" i="2" s="1"/>
  <c r="H494" i="2" s="1"/>
  <c r="L496" i="2" l="1"/>
  <c r="G495" i="2"/>
  <c r="J495" i="2" s="1"/>
  <c r="H495" i="2" s="1"/>
  <c r="L497" i="2" l="1"/>
  <c r="G496" i="2"/>
  <c r="J496" i="2" s="1"/>
  <c r="H496" i="2" s="1"/>
  <c r="G497" i="2" l="1"/>
  <c r="J497" i="2" s="1"/>
  <c r="H497" i="2" s="1"/>
  <c r="L498" i="2"/>
  <c r="L499" i="2" l="1"/>
  <c r="G498" i="2"/>
  <c r="J498" i="2" s="1"/>
  <c r="H498" i="2" s="1"/>
  <c r="L500" i="2" l="1"/>
  <c r="G499" i="2"/>
  <c r="J499" i="2" s="1"/>
  <c r="H499" i="2" s="1"/>
  <c r="L501" i="2" l="1"/>
  <c r="G500" i="2"/>
  <c r="J500" i="2" s="1"/>
  <c r="H500" i="2" s="1"/>
  <c r="G501" i="2" l="1"/>
  <c r="J501" i="2" s="1"/>
  <c r="H501" i="2" s="1"/>
  <c r="L502" i="2"/>
  <c r="L503" i="2" l="1"/>
  <c r="G502" i="2"/>
  <c r="J502" i="2" s="1"/>
  <c r="H502" i="2" s="1"/>
  <c r="L504" i="2" l="1"/>
  <c r="G503" i="2"/>
  <c r="J503" i="2" s="1"/>
  <c r="H503" i="2" s="1"/>
  <c r="G504" i="2" l="1"/>
  <c r="J504" i="2" s="1"/>
  <c r="H504" i="2" s="1"/>
  <c r="L505" i="2"/>
  <c r="G505" i="2" l="1"/>
  <c r="J505" i="2" s="1"/>
  <c r="H505" i="2" s="1"/>
  <c r="L506" i="2"/>
  <c r="G506" i="2" l="1"/>
  <c r="J506" i="2" s="1"/>
  <c r="H506" i="2" s="1"/>
  <c r="L507" i="2"/>
  <c r="L508" i="2" l="1"/>
  <c r="G507" i="2"/>
  <c r="J507" i="2" s="1"/>
  <c r="H507" i="2" s="1"/>
  <c r="L509" i="2" l="1"/>
  <c r="G508" i="2"/>
  <c r="J508" i="2" s="1"/>
  <c r="H508" i="2" s="1"/>
  <c r="L510" i="2" l="1"/>
  <c r="G509" i="2"/>
  <c r="J509" i="2" s="1"/>
  <c r="H509" i="2" s="1"/>
  <c r="G510" i="2" l="1"/>
  <c r="J510" i="2" s="1"/>
  <c r="H510" i="2" s="1"/>
  <c r="L511" i="2"/>
  <c r="L512" i="2" l="1"/>
  <c r="G511" i="2"/>
  <c r="J511" i="2" s="1"/>
  <c r="H511" i="2" s="1"/>
  <c r="L513" i="2" l="1"/>
  <c r="G512" i="2"/>
  <c r="J512" i="2" s="1"/>
  <c r="H512" i="2" s="1"/>
  <c r="L514" i="2" l="1"/>
  <c r="G513" i="2"/>
  <c r="J513" i="2" s="1"/>
  <c r="H513" i="2" s="1"/>
  <c r="G514" i="2" l="1"/>
  <c r="J514" i="2" s="1"/>
  <c r="H514" i="2" s="1"/>
  <c r="L515" i="2"/>
  <c r="G515" i="2" l="1"/>
  <c r="J515" i="2" s="1"/>
  <c r="H515" i="2" s="1"/>
  <c r="L516" i="2"/>
  <c r="G516" i="2" l="1"/>
  <c r="J516" i="2" s="1"/>
  <c r="H516" i="2" s="1"/>
  <c r="L517" i="2"/>
  <c r="L518" i="2" l="1"/>
  <c r="G517" i="2"/>
  <c r="J517" i="2" s="1"/>
  <c r="H517" i="2" s="1"/>
  <c r="L519" i="2" l="1"/>
  <c r="G518" i="2"/>
  <c r="J518" i="2" s="1"/>
  <c r="H518" i="2" s="1"/>
  <c r="L520" i="2" l="1"/>
  <c r="G519" i="2"/>
  <c r="J519" i="2" s="1"/>
  <c r="H519" i="2" s="1"/>
  <c r="G520" i="2" l="1"/>
  <c r="J520" i="2" s="1"/>
  <c r="H520" i="2" s="1"/>
  <c r="L521" i="2"/>
  <c r="L522" i="2" l="1"/>
  <c r="G521" i="2"/>
  <c r="J521" i="2" s="1"/>
  <c r="H521" i="2" s="1"/>
  <c r="G522" i="2" l="1"/>
  <c r="J522" i="2" s="1"/>
  <c r="H522" i="2" s="1"/>
  <c r="L523" i="2"/>
  <c r="L524" i="2" l="1"/>
  <c r="G523" i="2"/>
  <c r="J523" i="2" s="1"/>
  <c r="H523" i="2" s="1"/>
  <c r="L525" i="2" l="1"/>
  <c r="G524" i="2"/>
  <c r="J524" i="2" s="1"/>
  <c r="H524" i="2" s="1"/>
  <c r="G525" i="2" l="1"/>
  <c r="J525" i="2" s="1"/>
  <c r="H525" i="2" s="1"/>
  <c r="L526" i="2"/>
  <c r="G526" i="2" l="1"/>
  <c r="J526" i="2" s="1"/>
  <c r="H526" i="2" s="1"/>
  <c r="L527" i="2"/>
  <c r="G527" i="2" l="1"/>
  <c r="J527" i="2" s="1"/>
  <c r="H527" i="2" s="1"/>
  <c r="L528" i="2"/>
  <c r="L529" i="2" l="1"/>
  <c r="G528" i="2"/>
  <c r="J528" i="2" s="1"/>
  <c r="H528" i="2" s="1"/>
  <c r="L530" i="2" l="1"/>
  <c r="G529" i="2"/>
  <c r="J529" i="2" s="1"/>
  <c r="H529" i="2" s="1"/>
  <c r="G530" i="2" l="1"/>
  <c r="J530" i="2" s="1"/>
  <c r="H530" i="2" s="1"/>
  <c r="L531" i="2"/>
  <c r="G531" i="2" l="1"/>
  <c r="J531" i="2" s="1"/>
  <c r="H531" i="2" s="1"/>
  <c r="L532" i="2"/>
  <c r="L533" i="2" l="1"/>
  <c r="G532" i="2"/>
  <c r="J532" i="2" s="1"/>
  <c r="H532" i="2" s="1"/>
  <c r="G533" i="2" l="1"/>
  <c r="J533" i="2" s="1"/>
  <c r="H533" i="2" s="1"/>
  <c r="L534" i="2"/>
  <c r="G534" i="2" l="1"/>
  <c r="J534" i="2" s="1"/>
  <c r="H534" i="2" s="1"/>
  <c r="L535" i="2"/>
  <c r="L536" i="2" l="1"/>
  <c r="G535" i="2"/>
  <c r="J535" i="2" s="1"/>
  <c r="H535" i="2" s="1"/>
  <c r="G536" i="2" l="1"/>
  <c r="J536" i="2" s="1"/>
  <c r="H536" i="2" s="1"/>
  <c r="L537" i="2"/>
  <c r="G537" i="2" l="1"/>
  <c r="J537" i="2" s="1"/>
  <c r="H537" i="2" s="1"/>
  <c r="L538" i="2"/>
  <c r="L539" i="2" l="1"/>
  <c r="G538" i="2"/>
  <c r="J538" i="2" s="1"/>
  <c r="H538" i="2" s="1"/>
  <c r="L540" i="2" l="1"/>
  <c r="G539" i="2"/>
  <c r="J539" i="2" s="1"/>
  <c r="H539" i="2" s="1"/>
  <c r="G540" i="2" l="1"/>
  <c r="J540" i="2" s="1"/>
  <c r="H540" i="2" s="1"/>
  <c r="L541" i="2"/>
  <c r="G541" i="2" l="1"/>
  <c r="J541" i="2" s="1"/>
  <c r="H541" i="2" s="1"/>
  <c r="L542" i="2"/>
  <c r="L543" i="2" l="1"/>
  <c r="G542" i="2"/>
  <c r="J542" i="2" s="1"/>
  <c r="H542" i="2" s="1"/>
  <c r="G543" i="2" l="1"/>
  <c r="J543" i="2" s="1"/>
  <c r="H543" i="2" s="1"/>
  <c r="L544" i="2"/>
  <c r="G544" i="2" l="1"/>
  <c r="J544" i="2" s="1"/>
  <c r="H544" i="2" s="1"/>
  <c r="L545" i="2"/>
  <c r="G545" i="2" l="1"/>
  <c r="J545" i="2" s="1"/>
  <c r="H545" i="2" s="1"/>
  <c r="L546" i="2"/>
  <c r="L547" i="2" l="1"/>
  <c r="G546" i="2"/>
  <c r="J546" i="2" s="1"/>
  <c r="H546" i="2" s="1"/>
  <c r="L548" i="2" l="1"/>
  <c r="G547" i="2"/>
  <c r="J547" i="2" s="1"/>
  <c r="H547" i="2" s="1"/>
  <c r="L549" i="2" l="1"/>
  <c r="G548" i="2"/>
  <c r="J548" i="2" s="1"/>
  <c r="H548" i="2" s="1"/>
  <c r="L550" i="2" l="1"/>
  <c r="G549" i="2"/>
  <c r="J549" i="2" s="1"/>
  <c r="H549" i="2" s="1"/>
  <c r="L551" i="2" l="1"/>
  <c r="G550" i="2"/>
  <c r="J550" i="2" s="1"/>
  <c r="H550" i="2" s="1"/>
  <c r="L552" i="2" l="1"/>
  <c r="G551" i="2"/>
  <c r="J551" i="2" s="1"/>
  <c r="H551" i="2" s="1"/>
  <c r="L553" i="2" l="1"/>
  <c r="G552" i="2"/>
  <c r="J552" i="2" s="1"/>
  <c r="H552" i="2" s="1"/>
  <c r="G553" i="2" l="1"/>
  <c r="J553" i="2" s="1"/>
  <c r="H553" i="2" s="1"/>
  <c r="L554" i="2"/>
  <c r="L555" i="2" l="1"/>
  <c r="G554" i="2"/>
  <c r="J554" i="2" s="1"/>
  <c r="H554" i="2" s="1"/>
  <c r="L556" i="2" l="1"/>
  <c r="G555" i="2"/>
  <c r="J555" i="2" s="1"/>
  <c r="H555" i="2" s="1"/>
  <c r="L557" i="2" l="1"/>
  <c r="G556" i="2"/>
  <c r="J556" i="2" s="1"/>
  <c r="H556" i="2" s="1"/>
  <c r="G557" i="2" l="1"/>
  <c r="J557" i="2" s="1"/>
  <c r="H557" i="2" s="1"/>
  <c r="L558" i="2"/>
  <c r="L559" i="2" l="1"/>
  <c r="G558" i="2"/>
  <c r="J558" i="2" s="1"/>
  <c r="H558" i="2" s="1"/>
  <c r="G559" i="2" l="1"/>
  <c r="J559" i="2" s="1"/>
  <c r="H559" i="2" s="1"/>
  <c r="L560" i="2"/>
  <c r="L561" i="2" l="1"/>
  <c r="G560" i="2"/>
  <c r="J560" i="2" s="1"/>
  <c r="H560" i="2" s="1"/>
  <c r="G561" i="2" l="1"/>
  <c r="J561" i="2" s="1"/>
  <c r="H561" i="2" s="1"/>
  <c r="L562" i="2"/>
  <c r="L563" i="2" l="1"/>
  <c r="G562" i="2"/>
  <c r="J562" i="2" s="1"/>
  <c r="H562" i="2" s="1"/>
  <c r="L564" i="2" l="1"/>
  <c r="G563" i="2"/>
  <c r="J563" i="2" s="1"/>
  <c r="H563" i="2" s="1"/>
  <c r="L565" i="2" l="1"/>
  <c r="G564" i="2"/>
  <c r="J564" i="2" s="1"/>
  <c r="H564" i="2" s="1"/>
  <c r="G565" i="2" l="1"/>
  <c r="J565" i="2" s="1"/>
  <c r="H565" i="2" s="1"/>
  <c r="L566" i="2"/>
  <c r="L567" i="2" l="1"/>
  <c r="G566" i="2"/>
  <c r="J566" i="2" s="1"/>
  <c r="H566" i="2" s="1"/>
  <c r="L568" i="2" l="1"/>
  <c r="G567" i="2"/>
  <c r="J567" i="2" s="1"/>
  <c r="H567" i="2" s="1"/>
  <c r="L569" i="2" l="1"/>
  <c r="G568" i="2"/>
  <c r="J568" i="2" s="1"/>
  <c r="H568" i="2" s="1"/>
  <c r="L570" i="2" l="1"/>
  <c r="G569" i="2"/>
  <c r="J569" i="2" s="1"/>
  <c r="H569" i="2" s="1"/>
  <c r="L571" i="2" l="1"/>
  <c r="G570" i="2"/>
  <c r="J570" i="2" s="1"/>
  <c r="H570" i="2" s="1"/>
  <c r="L572" i="2" l="1"/>
  <c r="G571" i="2"/>
  <c r="J571" i="2" s="1"/>
  <c r="H571" i="2" s="1"/>
  <c r="L573" i="2" l="1"/>
  <c r="G572" i="2"/>
  <c r="J572" i="2" s="1"/>
  <c r="H572" i="2" s="1"/>
  <c r="G573" i="2" l="1"/>
  <c r="J573" i="2" s="1"/>
  <c r="H573" i="2" s="1"/>
  <c r="L574" i="2"/>
  <c r="L575" i="2" l="1"/>
  <c r="G574" i="2"/>
  <c r="J574" i="2" s="1"/>
  <c r="H574" i="2" s="1"/>
  <c r="L576" i="2" l="1"/>
  <c r="G575" i="2"/>
  <c r="J575" i="2" s="1"/>
  <c r="H575" i="2" s="1"/>
  <c r="L577" i="2" l="1"/>
  <c r="G576" i="2"/>
  <c r="J576" i="2" s="1"/>
  <c r="H576" i="2" s="1"/>
  <c r="G577" i="2" l="1"/>
  <c r="J577" i="2" s="1"/>
  <c r="H577" i="2" s="1"/>
  <c r="L578" i="2"/>
  <c r="L579" i="2" l="1"/>
  <c r="G578" i="2"/>
  <c r="J578" i="2" s="1"/>
  <c r="H578" i="2" s="1"/>
  <c r="G579" i="2" l="1"/>
  <c r="J579" i="2" s="1"/>
  <c r="H579" i="2" s="1"/>
  <c r="L580" i="2"/>
  <c r="L581" i="2" l="1"/>
  <c r="G580" i="2"/>
  <c r="J580" i="2" s="1"/>
  <c r="H580" i="2" s="1"/>
  <c r="G581" i="2" l="1"/>
  <c r="J581" i="2" s="1"/>
  <c r="H581" i="2" s="1"/>
  <c r="L582" i="2"/>
  <c r="L583" i="2" l="1"/>
  <c r="G582" i="2"/>
  <c r="J582" i="2" s="1"/>
  <c r="H582" i="2" s="1"/>
  <c r="L584" i="2" l="1"/>
  <c r="G583" i="2"/>
  <c r="J583" i="2" s="1"/>
  <c r="H583" i="2" s="1"/>
  <c r="G584" i="2" l="1"/>
  <c r="J584" i="2" s="1"/>
  <c r="H584" i="2" s="1"/>
  <c r="L585" i="2"/>
  <c r="G585" i="2" l="1"/>
  <c r="J585" i="2" s="1"/>
  <c r="H585" i="2" s="1"/>
  <c r="L586" i="2"/>
  <c r="L587" i="2" l="1"/>
  <c r="G586" i="2"/>
  <c r="J586" i="2" s="1"/>
  <c r="H586" i="2" s="1"/>
  <c r="L588" i="2" l="1"/>
  <c r="G587" i="2"/>
  <c r="J587" i="2" s="1"/>
  <c r="H587" i="2" s="1"/>
  <c r="L589" i="2" l="1"/>
  <c r="G588" i="2"/>
  <c r="J588" i="2" s="1"/>
  <c r="H588" i="2" s="1"/>
  <c r="L590" i="2" l="1"/>
  <c r="G589" i="2"/>
  <c r="J589" i="2" s="1"/>
  <c r="H589" i="2" s="1"/>
  <c r="L591" i="2" l="1"/>
  <c r="G590" i="2"/>
  <c r="J590" i="2" s="1"/>
  <c r="H590" i="2" s="1"/>
  <c r="L592" i="2" l="1"/>
  <c r="G591" i="2"/>
  <c r="J591" i="2" s="1"/>
  <c r="H591" i="2" s="1"/>
  <c r="G592" i="2" l="1"/>
  <c r="J592" i="2" s="1"/>
  <c r="H592" i="2" s="1"/>
  <c r="L593" i="2"/>
  <c r="G593" i="2" l="1"/>
  <c r="J593" i="2" s="1"/>
  <c r="H593" i="2" s="1"/>
  <c r="L594" i="2"/>
  <c r="G594" i="2" l="1"/>
  <c r="J594" i="2" s="1"/>
  <c r="H594" i="2" s="1"/>
  <c r="L595" i="2"/>
  <c r="G595" i="2" l="1"/>
  <c r="J595" i="2" s="1"/>
  <c r="H595" i="2" s="1"/>
  <c r="L596" i="2"/>
  <c r="G596" i="2" l="1"/>
  <c r="J596" i="2" s="1"/>
  <c r="H596" i="2" s="1"/>
  <c r="L597" i="2"/>
  <c r="G597" i="2" l="1"/>
  <c r="J597" i="2" s="1"/>
  <c r="H597" i="2" s="1"/>
  <c r="L598" i="2"/>
  <c r="G598" i="2" l="1"/>
  <c r="J598" i="2" s="1"/>
  <c r="H598" i="2" s="1"/>
  <c r="L599" i="2"/>
  <c r="G599" i="2" l="1"/>
  <c r="J599" i="2" s="1"/>
  <c r="H599" i="2" s="1"/>
  <c r="L600" i="2"/>
  <c r="L601" i="2" l="1"/>
  <c r="G600" i="2"/>
  <c r="J600" i="2" s="1"/>
  <c r="H600" i="2" s="1"/>
  <c r="G601" i="2" l="1"/>
  <c r="J601" i="2" s="1"/>
  <c r="H601" i="2" s="1"/>
</calcChain>
</file>

<file path=xl/sharedStrings.xml><?xml version="1.0" encoding="utf-8"?>
<sst xmlns="http://schemas.openxmlformats.org/spreadsheetml/2006/main" count="6908" uniqueCount="493">
  <si>
    <t>Đáp án A</t>
  </si>
  <si>
    <t>Đáp án B</t>
  </si>
  <si>
    <t>Đáp án C</t>
  </si>
  <si>
    <t>Đáp án D</t>
  </si>
  <si>
    <t>RAM DDR4 thường có bao nhiêu chân?</t>
  </si>
  <si>
    <t>240</t>
  </si>
  <si>
    <t>288</t>
  </si>
  <si>
    <t>184</t>
  </si>
  <si>
    <t>200</t>
  </si>
  <si>
    <t>B</t>
  </si>
  <si>
    <t>Dễ</t>
  </si>
  <si>
    <t>ROM</t>
  </si>
  <si>
    <t>CPU được lắp vào đâu trên mainboard?</t>
  </si>
  <si>
    <t>PCIe slot</t>
  </si>
  <si>
    <t>RAM slot</t>
  </si>
  <si>
    <t>CPU socket</t>
  </si>
  <si>
    <t>SATA port</t>
  </si>
  <si>
    <t>C</t>
  </si>
  <si>
    <t>Khe PCIe x16 thường dùng để lắp thiết bị nào?</t>
  </si>
  <si>
    <t>RAM</t>
  </si>
  <si>
    <t>GPU</t>
  </si>
  <si>
    <t>SSD</t>
  </si>
  <si>
    <t>CPU</t>
  </si>
  <si>
    <t>Ổ SSD SATA thường có kích thước phổ biến nào?</t>
  </si>
  <si>
    <t>3.5 inch</t>
  </si>
  <si>
    <t>2.5 inch</t>
  </si>
  <si>
    <t>5 inch</t>
  </si>
  <si>
    <t>1.8 inch</t>
  </si>
  <si>
    <t>Nguồn máy tính còn gọi là gì?</t>
  </si>
  <si>
    <t>PSU</t>
  </si>
  <si>
    <t>UPS</t>
  </si>
  <si>
    <t>RAM có chức năng chính là gì?</t>
  </si>
  <si>
    <t>Lưu trữ tạm thời</t>
  </si>
  <si>
    <t>Lưu trữ lâu dài</t>
  </si>
  <si>
    <t>Xuất hình ảnh</t>
  </si>
  <si>
    <t>Cấp điện</t>
  </si>
  <si>
    <t>A</t>
  </si>
  <si>
    <t>M.2</t>
  </si>
  <si>
    <t>PCI</t>
  </si>
  <si>
    <t>Thiết bị lưu trữ</t>
  </si>
  <si>
    <t>Bo mạch chủ</t>
  </si>
  <si>
    <t>Thiết bị xuất hình</t>
  </si>
  <si>
    <t>Thiết bị nhập</t>
  </si>
  <si>
    <t>Thiết bị nào giúp làm mát CPU?</t>
  </si>
  <si>
    <t>Case</t>
  </si>
  <si>
    <t>Heatsink/Fan</t>
  </si>
  <si>
    <t>DIMM slot</t>
  </si>
  <si>
    <t>RAM DDR4 không thể lắp vào khe DDR5 vì lý do chính nào?</t>
  </si>
  <si>
    <t>Khác dung lượng</t>
  </si>
  <si>
    <t>Khác hãng</t>
  </si>
  <si>
    <t>Khác màu</t>
  </si>
  <si>
    <t>Trung bình</t>
  </si>
  <si>
    <t>Chuẩn giao tiếp của ổ SSD NVMe là gì?</t>
  </si>
  <si>
    <t>SATA</t>
  </si>
  <si>
    <t>PCIe</t>
  </si>
  <si>
    <t>IDE</t>
  </si>
  <si>
    <t>USB</t>
  </si>
  <si>
    <t>SATA III có tốc độ tối đa lý thuyết bao nhiêu?</t>
  </si>
  <si>
    <t>300 MB/s</t>
  </si>
  <si>
    <t>600 MB/s</t>
  </si>
  <si>
    <t>1 GB/s</t>
  </si>
  <si>
    <t>6 GB/s</t>
  </si>
  <si>
    <t>Socket AM4 dùng cho CPU hãng nào?</t>
  </si>
  <si>
    <t>Intel</t>
  </si>
  <si>
    <t>AMD</t>
  </si>
  <si>
    <t>Apple</t>
  </si>
  <si>
    <t>Qualcomm</t>
  </si>
  <si>
    <t>D</t>
  </si>
  <si>
    <t>RAM bus cao hơn thường mang lại lợi ích gì?</t>
  </si>
  <si>
    <t>Tăng tốc độ truyền dữ liệu</t>
  </si>
  <si>
    <t>Giảm dung lượng</t>
  </si>
  <si>
    <t>Giảm điện áp</t>
  </si>
  <si>
    <t>Giảm nhiệt</t>
  </si>
  <si>
    <t>Mainboard Micro‑ATX nhỏ hơn loại nào?</t>
  </si>
  <si>
    <t>ATX</t>
  </si>
  <si>
    <t>Mini‑ITX</t>
  </si>
  <si>
    <t>Nano‑ITX</t>
  </si>
  <si>
    <t>Flex‑ATX</t>
  </si>
  <si>
    <t>Ổ SSD nhanh hơn HDD chủ yếu vì lý do nào?</t>
  </si>
  <si>
    <t>Không có bộ nhớ</t>
  </si>
  <si>
    <t>Không có bộ phận cơ học</t>
  </si>
  <si>
    <t>Không cần điện</t>
  </si>
  <si>
    <t>Không cần mainboard</t>
  </si>
  <si>
    <t>SSD NVMe</t>
  </si>
  <si>
    <t>Lắp CPU Intel Gen 12 cần loại socket nào?</t>
  </si>
  <si>
    <t>LGA1151</t>
  </si>
  <si>
    <t>LGA1200</t>
  </si>
  <si>
    <t>LGA1700</t>
  </si>
  <si>
    <t>AM4</t>
  </si>
  <si>
    <t>Máy bật nhưng không lên hình, nguyên nhân phổ biến nhất khi lắp ráp?</t>
  </si>
  <si>
    <t>RAM lỏng</t>
  </si>
  <si>
    <t>Chuột lỗi</t>
  </si>
  <si>
    <t>Bàn phím lỗi</t>
  </si>
  <si>
    <t>Loa lỗi</t>
  </si>
  <si>
    <t>Lắp SSD NVMe nhưng BIOS không nhận. Nguyên nhân có thể là gì?</t>
  </si>
  <si>
    <t>Main không hỗ trợ NVMe</t>
  </si>
  <si>
    <t>RAM lỗi</t>
  </si>
  <si>
    <t>GPU yếu</t>
  </si>
  <si>
    <t>Màn hình hỏng</t>
  </si>
  <si>
    <t>Nếu PSU công suất quá thấp có thể gây ra hiện tượng gì?</t>
  </si>
  <si>
    <t>Máy tắt đột ngột</t>
  </si>
  <si>
    <t>RAM tăng dung lượng</t>
  </si>
  <si>
    <t>SSD nhanh hơn</t>
  </si>
  <si>
    <t>GPU mạnh hơn</t>
  </si>
  <si>
    <t>CPU quá nhiệt thường do nguyên nhân nào?</t>
  </si>
  <si>
    <t>Thiếu keo tản nhiệt</t>
  </si>
  <si>
    <t>Thiếu RAM</t>
  </si>
  <si>
    <t>Ổ cứng chậm</t>
  </si>
  <si>
    <t>Thiếu chuột</t>
  </si>
  <si>
    <t>Không chạy dual channel</t>
  </si>
  <si>
    <t>Không lên nguồn</t>
  </si>
  <si>
    <t>Hỏng RAM</t>
  </si>
  <si>
    <t>Cháy main</t>
  </si>
  <si>
    <t>Chạy chậm</t>
  </si>
  <si>
    <t>GPU rời cần cấp thêm nguồn từ đâu?</t>
  </si>
  <si>
    <t>PSU qua cáp PCIe</t>
  </si>
  <si>
    <t>SATA cable</t>
  </si>
  <si>
    <t>USB port</t>
  </si>
  <si>
    <t>Ổ HDD 7200RPM nhanh hơn 5400RPM vì lý do gì?</t>
  </si>
  <si>
    <t>Đĩa quay nhanh hơn</t>
  </si>
  <si>
    <t>Dung lượng lớn hơn</t>
  </si>
  <si>
    <t>Có RAM</t>
  </si>
  <si>
    <t>Có GPU</t>
  </si>
  <si>
    <t>Nguồn PSU không ổn định</t>
  </si>
  <si>
    <t>Cổng USB hỏng</t>
  </si>
  <si>
    <t>Máy tính bấm nút nguồn nhưng không có tín hiệu gì (quạt không quay). Nguyên nhân có thể là:</t>
  </si>
  <si>
    <t>PSU chưa cấp điện</t>
  </si>
  <si>
    <t>GPU lỗi</t>
  </si>
  <si>
    <t>SSD hỏng</t>
  </si>
  <si>
    <t>Máy bật nguồn nhưng không lên hình, nguyên nhân phổ biến nhất là:</t>
  </si>
  <si>
    <t>HDD hỏng</t>
  </si>
  <si>
    <t>SSD lỗi</t>
  </si>
  <si>
    <t>Sau khi lắp CPU nhưng máy tự tắt sau vài giây, nguyên nhân có thể là:</t>
  </si>
  <si>
    <t>Không cắm SSD</t>
  </si>
  <si>
    <t>CPU quá nóng</t>
  </si>
  <si>
    <t>Máy bật nhưng không nhận ổ cứng, nguyên nhân có thể là:</t>
  </si>
  <si>
    <t>SATA chưa cắm</t>
  </si>
  <si>
    <t>CPU lỗi</t>
  </si>
  <si>
    <t>Máy chạy bình thường</t>
  </si>
  <si>
    <t>CPU quá nhiệt</t>
  </si>
  <si>
    <t>RAM hỏng</t>
  </si>
  <si>
    <t>HDD không nhận</t>
  </si>
  <si>
    <t>Máy không lên hình</t>
  </si>
  <si>
    <t>Máy tính không khởi động</t>
  </si>
  <si>
    <t>Main hỏng</t>
  </si>
  <si>
    <t>Máy không boot</t>
  </si>
  <si>
    <t>Máy chạy chậm</t>
  </si>
  <si>
    <t>Máy không khởi động được</t>
  </si>
  <si>
    <t>Lắp sai khe M.2</t>
  </si>
  <si>
    <t>Nếu mainboard không hỗ trợ NVMe:</t>
  </si>
  <si>
    <t>Không nhận ổ</t>
  </si>
  <si>
    <t>Không nhận RAM</t>
  </si>
  <si>
    <t>Không nhận GPU</t>
  </si>
  <si>
    <t>SSD cháy</t>
  </si>
  <si>
    <t>Máy bật nhưng quạt quay mạnh, không lên hình:</t>
  </si>
  <si>
    <t>PSU yếu</t>
  </si>
  <si>
    <t>HDD lỗi</t>
  </si>
  <si>
    <t>RAM chạy 2666MHz</t>
  </si>
  <si>
    <t>RAM cháy</t>
  </si>
  <si>
    <t>Máy không chạy</t>
  </si>
  <si>
    <t>RAM chạy 3200MHz</t>
  </si>
  <si>
    <t>Lắp SSD NVMe vào khe SATA:</t>
  </si>
  <si>
    <t>Không lắp được</t>
  </si>
  <si>
    <t>Chạy bình thường</t>
  </si>
  <si>
    <t>Mainboard Mini-ITX là loại thường dùng cho:</t>
  </si>
  <si>
    <t>Máy nhỏ gọn</t>
  </si>
  <si>
    <t>Server lớn</t>
  </si>
  <si>
    <t>Workstation</t>
  </si>
  <si>
    <t>Gaming tower</t>
  </si>
  <si>
    <t>chạy theo bus thấp hơn</t>
  </si>
  <si>
    <t>chạy bus cao hơn</t>
  </si>
  <si>
    <t>không nhận RAM</t>
  </si>
  <si>
    <t>chạy bus bằng trung bình của 2 RAM</t>
  </si>
  <si>
    <t>SSD chưa cài hệ điều hành</t>
  </si>
  <si>
    <t>RAM không tương thích</t>
  </si>
  <si>
    <t>Máy chạy chậm dù CPU mạnh, nguyên nhân có thể:</t>
  </si>
  <si>
    <t>GPU mạnh</t>
  </si>
  <si>
    <t>RAM lớn</t>
  </si>
  <si>
    <t>PSU mạnh</t>
  </si>
  <si>
    <t>HDD thay vì SSD</t>
  </si>
  <si>
    <t>Khi lắp NVMe cần:</t>
  </si>
  <si>
    <t>khe M.2</t>
  </si>
  <si>
    <t>khe PCI</t>
  </si>
  <si>
    <t>tản nhiệt kém</t>
  </si>
  <si>
    <t>RAM nhỏ</t>
  </si>
  <si>
    <t>SSD nhỏ</t>
  </si>
  <si>
    <t>Nếu CPU socket khác mainboard:</t>
  </si>
  <si>
    <t>không lắp được</t>
  </si>
  <si>
    <t>chạy chậm</t>
  </si>
  <si>
    <t>không chạy được</t>
  </si>
  <si>
    <t>Máy bấm nút nguồn nhưng không có tín hiệu gì, quạt không quay.
Nguyên nhân có thể là:</t>
  </si>
  <si>
    <t>chưa cắm dây CPU fan</t>
  </si>
  <si>
    <t>Dây power case cắm sai</t>
  </si>
  <si>
    <t>PSU không cấp điện</t>
  </si>
  <si>
    <t>Chưa cắm dây CPU fan</t>
  </si>
  <si>
    <t>BIOS chưa update</t>
  </si>
  <si>
    <t>quên cắm dây HDMI vào GPU</t>
  </si>
  <si>
    <t>BIOS không nhận SSD NVMe.
Nguyên nhân có thể:</t>
  </si>
  <si>
    <t>mainboard không hỗ trợ NVMe</t>
  </si>
  <si>
    <t>chưa tạo phân vùng</t>
  </si>
  <si>
    <t>Đang dùng HDD</t>
  </si>
  <si>
    <t>CPU yếu</t>
  </si>
  <si>
    <t>SSD lớn</t>
  </si>
  <si>
    <t>RAM quá nhiều</t>
  </si>
  <si>
    <t>Chưa tạo phân vùng</t>
  </si>
  <si>
    <t>RAM yếu</t>
  </si>
  <si>
    <t>Dùng HDD</t>
  </si>
  <si>
    <t>Chưa cài hệ điều hành</t>
  </si>
  <si>
    <t>Quên cắm dây HDMI vào GPU</t>
  </si>
  <si>
    <t>Không có ổ boot</t>
  </si>
  <si>
    <t>Chưa cài driver</t>
  </si>
  <si>
    <t>Thiếu driver chipset</t>
  </si>
  <si>
    <t>Để cài đặt phần mềm cần quyền:</t>
  </si>
  <si>
    <t>User</t>
  </si>
  <si>
    <t>Admin</t>
  </si>
  <si>
    <t>Guest</t>
  </si>
  <si>
    <t>Network</t>
  </si>
  <si>
    <t>Khi cài phần mềm Office xuất hiện thông báo product key required.</t>
  </si>
  <si>
    <t>Đã có bản quyền</t>
  </si>
  <si>
    <t>Cần kích hoạt bản quyền</t>
  </si>
  <si>
    <t>Sai key bản quyền</t>
  </si>
  <si>
    <t>Office bị lỗi</t>
  </si>
  <si>
    <t>Khi cài phần mềm xuất hiện thông báo missing DLL.
Nguyên nhân:</t>
  </si>
  <si>
    <t>Thiếu thư viện hệ thống</t>
  </si>
  <si>
    <t>Chưa có bản quyền</t>
  </si>
  <si>
    <t>Thiếu driver</t>
  </si>
  <si>
    <t>Restore từng file</t>
  </si>
  <si>
    <t>Restore System Image</t>
  </si>
  <si>
    <t>Reinstall Windows</t>
  </si>
  <si>
    <t>Format ổ cứng</t>
  </si>
  <si>
    <t>Disk Cleanup</t>
  </si>
  <si>
    <t>System Image Backup</t>
  </si>
  <si>
    <t>Device Manager</t>
  </si>
  <si>
    <t>Task Manager</t>
  </si>
  <si>
    <t>Nếu backup được lưu trên cùng ổ cứng với dữ liệu gốc, rủi ro chính là:</t>
  </si>
  <si>
    <t>Ổ cứng lỗi</t>
  </si>
  <si>
    <t>Mất dữ liệu khi ổ cứng hỏng</t>
  </si>
  <si>
    <t>Tốc độ chậm</t>
  </si>
  <si>
    <t>Không phục hồi lại được</t>
  </si>
  <si>
    <t>Acronis True Image</t>
  </si>
  <si>
    <t>Thiết bị lưu trữ nào phù hợp nhất để backup dài hạn?</t>
  </si>
  <si>
    <t>HDD</t>
  </si>
  <si>
    <t>Cache</t>
  </si>
  <si>
    <t>restore system image</t>
  </si>
  <si>
    <t>Backup system image</t>
  </si>
  <si>
    <t>Cài Windows mới</t>
  </si>
  <si>
    <t>Format ổ cứng và cài Windows mới</t>
  </si>
  <si>
    <t>Máy tính khởi động nhưng dừng ở màn hình “Boot Device Not Found”. Nguyên nhân phổ biến là:</t>
  </si>
  <si>
    <t>Windows chưa kích hoạt</t>
  </si>
  <si>
    <t>BIOS không nhận ổ cứng hoặc sai thứ tự boot</t>
  </si>
  <si>
    <t>Máy tính báo “Disk 100% usage” trong Task Manager. Nguyên nhân có thể là:</t>
  </si>
  <si>
    <t>Ổ cứng hoạt động quá tải</t>
  </si>
  <si>
    <t>RAM quá lớn</t>
  </si>
  <si>
    <t>Driver USB chưa cài hoặc bị lỗi</t>
  </si>
  <si>
    <t>Driver mạng lỗi</t>
  </si>
  <si>
    <t>RAM gần đầy</t>
  </si>
  <si>
    <t>Không có quyền Administrator</t>
  </si>
  <si>
    <t>Quá nhiệt CPU hoặc lỗi phần cứng</t>
  </si>
  <si>
    <t>Ổ cứng gần đầy</t>
  </si>
  <si>
    <t>Không nhận ổ cứng</t>
  </si>
  <si>
    <t>Lỗi ổ cứng</t>
  </si>
  <si>
    <t>CPU gần đầy</t>
  </si>
  <si>
    <t>Thông báo RAM đầy</t>
  </si>
  <si>
    <t>Thông báo ổ cứng đầy</t>
  </si>
  <si>
    <t>Sau khi cài driver mới, Windows bị màn hình xanh. Giải pháp tốt nhất:</t>
  </si>
  <si>
    <t>Rollback driver</t>
  </si>
  <si>
    <t>Thay SSD</t>
  </si>
  <si>
    <t>Máy Windows khởi động vào Safe Mode. Điều này thường dùng để:</t>
  </si>
  <si>
    <t>Sửa lỗi hệ thống hoặc driver</t>
  </si>
  <si>
    <t>kiểm tra key bản quyền</t>
  </si>
  <si>
    <t>Sửa lỗi ổ cứng đầy</t>
  </si>
  <si>
    <t>Máy tính hiển thị lỗi “Operating System Not Found”. Nguyên nhân:</t>
  </si>
  <si>
    <t>Ổ cứng không có hệ điều hành</t>
  </si>
  <si>
    <t>CPU có Base Clock 2.8 GHz, Turbo Boost 4.0 GHz nghĩa là:</t>
  </si>
  <si>
    <t>CPU có thể tự động tăng xung lên 4.0 GHz khi cần</t>
  </si>
  <si>
    <t>CPU luôn chạy 4.0 GHz</t>
  </si>
  <si>
    <t>CPU không chạy dưới 4 GHz</t>
  </si>
  <si>
    <t>CPU chỉ chạy 2.8 GHz</t>
  </si>
  <si>
    <t>Thông số Socket CPU dùng để:</t>
  </si>
  <si>
    <t>xác định loại bo mạch chủ tương thích</t>
  </si>
  <si>
    <t>xác định loại RAM</t>
  </si>
  <si>
    <t>xác định dung lượng ổ cứng</t>
  </si>
  <si>
    <t>xác định card màn hình</t>
  </si>
  <si>
    <t>Khác vị trí rãnh</t>
  </si>
  <si>
    <t>Thông số Dual Channel RAM giúp:</t>
  </si>
  <si>
    <t>tăng băng thông truy cập bộ nhớ</t>
  </si>
  <si>
    <t>tăng dung lượng ổ cứng</t>
  </si>
  <si>
    <t>tăng số nhân CPU</t>
  </si>
  <si>
    <t>tăng dung lượng cache</t>
  </si>
  <si>
    <t>CPU có cache L1, L2, L3. Trong đó cache nhanh nhất là:</t>
  </si>
  <si>
    <t>L1</t>
  </si>
  <si>
    <t>L2</t>
  </si>
  <si>
    <t>L3</t>
  </si>
  <si>
    <t>Như nhau, chỉ khác về dung lượng</t>
  </si>
  <si>
    <t>Thông tin “Intel® Core™ i9-8950HK, 4.80 GHz, 12 MB Intel® Smart Cache” mô tả:</t>
  </si>
  <si>
    <t>Bộ nhớ cache L1 là 12 MB</t>
  </si>
  <si>
    <t>Bộ nhớ cache L2 là 12 MB</t>
  </si>
  <si>
    <t>Bộ nhớ cache L3 là 12 MB</t>
  </si>
  <si>
    <t>Bộ nhớ cache L1+L2+L3 là 12 MB</t>
  </si>
  <si>
    <t>thế hệ thứ 8</t>
  </si>
  <si>
    <t>thế hệ thứ 9</t>
  </si>
  <si>
    <t>thế hệ thứ 12</t>
  </si>
  <si>
    <t>CPU có 9 nhân</t>
  </si>
  <si>
    <t>Lỗi RAM</t>
  </si>
  <si>
    <t>Lỗi VGA</t>
  </si>
  <si>
    <t>Lỗi nguồn</t>
  </si>
  <si>
    <t>Máy tính phát ra "tiếng bíp dài liên tục khi khởi động", thường là lỗi gì?</t>
  </si>
  <si>
    <t>Máy tính bật nguồn nhưng không nghe tiếng bíp POST, nguyên nhân có thể là:</t>
  </si>
  <si>
    <t>Không có Loa mainboard</t>
  </si>
  <si>
    <t>Không có ổ cứng</t>
  </si>
  <si>
    <t>Không có VGA</t>
  </si>
  <si>
    <t>Quạt CPU</t>
  </si>
  <si>
    <t>VGA</t>
  </si>
  <si>
    <t>Nguồn</t>
  </si>
  <si>
    <t>Máy tính bật nguồn nhưng tự khởi động lại liên tục, nguyên nhân phần cứng có thể là:</t>
  </si>
  <si>
    <t>Nguồn yếu hoặc không ổn định</t>
  </si>
  <si>
    <t>Lỗi ổ cứng hoặc đầy dữ liệu</t>
  </si>
  <si>
    <t>Máy tính bật nguồn nhưng tắt ngay sau vài giây, nguyên nhân có thể là:</t>
  </si>
  <si>
    <t>Nguồn không đủ công suất</t>
  </si>
  <si>
    <t>Máy tính không lưu được thời gian BIOS sau khi tắt máy, nguyên nhân thường là:</t>
  </si>
  <si>
    <t>Pin CMOS hết</t>
  </si>
  <si>
    <t>Lỗi driver</t>
  </si>
  <si>
    <t>Khi bật máy, BIOS phát ra 1 tiếng bíp ngắn, điều này thường có nghĩa là:</t>
  </si>
  <si>
    <t>Hệ thống khởi động bình thường</t>
  </si>
  <si>
    <t>Máy phát 1 tiếng bíp dài + 2 tiếng bíp ngắn, thường báo lỗi:</t>
  </si>
  <si>
    <t>Card đồ họa rời được cắm vào khe nào trên mainboard?</t>
  </si>
  <si>
    <t>Ổ SSD NVMe được cắm vào khe nào?</t>
  </si>
  <si>
    <t>PCIe x16</t>
  </si>
  <si>
    <t>Nếu CPU không đúng socket với mainboard thì:</t>
  </si>
  <si>
    <t>Không chạy được</t>
  </si>
  <si>
    <t>Chạy ở 2666 MHz</t>
  </si>
  <si>
    <t>Mainboard Micro-ATX có thể lắp vào case ATX không?</t>
  </si>
  <si>
    <t>Có</t>
  </si>
  <si>
    <t>Không</t>
  </si>
  <si>
    <t>Chỉ khi dùng adapter</t>
  </si>
  <si>
    <t>Chỉ khi nâng cấp BIOS</t>
  </si>
  <si>
    <t>Ổ SSD SATA cần nguồn từ:</t>
  </si>
  <si>
    <t>Cáp SATA power</t>
  </si>
  <si>
    <t>Cáp VGA</t>
  </si>
  <si>
    <t>Cáp USB</t>
  </si>
  <si>
    <t>Nếu mainboard hỗ trợ DDR5, RAM DDR4 sẽ:</t>
  </si>
  <si>
    <t>Chạy nửa tốc độ</t>
  </si>
  <si>
    <t>Khe M.2 trên mainboard thường dùng để lắp linh kiện nào?</t>
  </si>
  <si>
    <t>nội dung</t>
  </si>
  <si>
    <t>Đ/A đúng</t>
  </si>
  <si>
    <t xml:space="preserve">Đ/A </t>
  </si>
  <si>
    <t>trung bình</t>
  </si>
  <si>
    <t>LV</t>
  </si>
  <si>
    <t>Mainboard là gì?</t>
  </si>
  <si>
    <t>Cáp PCI-E</t>
  </si>
  <si>
    <t>Khe cắm RAM trên mainboard được gọi là gì?</t>
  </si>
  <si>
    <t>Máy bật nhưng tự khởi động lại liên tục, nguyên nhân có thể:</t>
  </si>
  <si>
    <t>Máy khởi động nhưng không nhận SSD NVM-E, nguyên nhân có thể:</t>
  </si>
  <si>
    <t>Máy không khởi động hệ điều hành Windows sau khi lắp SSD mới.
Nguyên nhân là gì?</t>
  </si>
  <si>
    <t>Nếu dây SATA tiếp xúc không tốt thì:</t>
  </si>
  <si>
    <t>Nếu thiếu bộ phận tản nhiệt cho CPU thì?</t>
  </si>
  <si>
    <t>Mainboard chỉ hỗ trợ RAM 2666MHz nhưng lắp RAM 3200MHz:</t>
  </si>
  <si>
    <t>Không đúng key bản quyền</t>
  </si>
  <si>
    <t>Cài lại hệ điều hành</t>
  </si>
  <si>
    <t>Nếu hệ điều hành Windows lỗi, phương pháp phục hồi nhanh nhất là:</t>
  </si>
  <si>
    <t>Nếu hệ điều hành Windows lỗi nhưng có System Image, cần:</t>
  </si>
  <si>
    <t>Phần mềm nào thường dùng để backup hệ điều hành Windows?</t>
  </si>
  <si>
    <t>Trong Hệ điều hành Windows, công cụ nào dùng để tạo bản sao toàn bộ hệ thống?</t>
  </si>
  <si>
    <t>Hệ điều hành Windows báo lỗi “Low Disk Space”. Điều này nghĩa là:</t>
  </si>
  <si>
    <t>Hệ điều hành Windows báo lỗi “Windows cannot connect to this network”. Nguyên nhân có thể là:</t>
  </si>
  <si>
    <t>Giao tiếp mạng lỗi</t>
  </si>
  <si>
    <t>Phần mềm ứng dụng chạy chậm, nguyên nhân có thể là:</t>
  </si>
  <si>
    <t>Khi bật máy tính lên bíp liên tục. Nguyên nhân thường là:</t>
  </si>
  <si>
    <t>Máy tính bật lên tự tắt sau 5 giây. Nguyên nhân có thể:</t>
  </si>
  <si>
    <t>Máy tính bật nguồn, quạt quay nhưng không lên hình. Nguyên nhân phổ biến nhất:</t>
  </si>
  <si>
    <t>Máy tính bật nhưng BIOS không nhận CPU. Nguyên nhân có thể:</t>
  </si>
  <si>
    <t>Máy tính bật nhưng quạt CPU không quay. Nguyên nhân có thể là:</t>
  </si>
  <si>
    <t>Máy tính bị treo tạm thời khi mở nhiều ứng dụng. Nguyên nhân có thể?</t>
  </si>
  <si>
    <t>Máy tính boot nhưng không vào hệ điều hành Windows, lỗi là?</t>
  </si>
  <si>
    <t>Máy tính boot vào BIOS liên tục. Nguyên nhân có thể là?</t>
  </si>
  <si>
    <t>Máy chạy rất chậm dù CPU mạnh, nguyên nhân có thể:</t>
  </si>
  <si>
    <t>Máy tính treo hoặc tắt khi sử dụng phần mềm xử lý đồ hoạ.
Nguyên nhân:</t>
  </si>
  <si>
    <t>Nếu CPU quá nóng, nguyên nhân thường là?</t>
  </si>
  <si>
    <t>Nếu CPU quá nóng, thiết bị nào cần kiểm tra?</t>
  </si>
  <si>
    <t>Nếu máy quá nóng khi chạy nhiều ứng dụng:</t>
  </si>
  <si>
    <t>SSD SATA lắp vào nhưng không xuất hiện ổ đĩa trong hệ điều hành Windows. Nguyên nhân:</t>
  </si>
  <si>
    <t>Windows không nhận chính xác thiết bị GPU.
Nguyên nhân:</t>
  </si>
  <si>
    <t>Khi lắp RAM sai khe trên mainboard hỗ trợ dual channel thì điều gì xảy ra?</t>
  </si>
  <si>
    <t>Hệ điều hành Windows hiển thị thông báo “Access Denied” khi cài phần mềm. Nguyên nhân:</t>
  </si>
  <si>
    <t xml:space="preserve">USB không hoạt động sau khi lắp main mới:
</t>
  </si>
  <si>
    <t>đã sửa</t>
  </si>
  <si>
    <t>Hiện tượng gì nếu bật máy tính không cắm RAM ?</t>
  </si>
  <si>
    <t>Điều kiện để RAM chạy Dual Channel</t>
  </si>
  <si>
    <t>đã sửa, thay câu hỏi</t>
  </si>
  <si>
    <t>Thiết bị phải có ít nhất 2 thanh RAM, cùng loại, cùng bus và có dung lượng giống nhau.</t>
  </si>
  <si>
    <t>Thiết bị phải có ít nhất 2 thanh RAM, cùng loại, cùng bus và không cần dung lượng giống nhau.</t>
  </si>
  <si>
    <t>Thiết bị chỉ cần cắm ít nhất 2 thanh RAM cùng bus.</t>
  </si>
  <si>
    <t>Thiết bị chỉ cần cắm 2 thanh RAM trở lên.</t>
  </si>
  <si>
    <t>Sử dụng 2 thanh RAM cùng loại, khác bus nhưng khi lắp đặt vào bo mạch chủ thì:</t>
  </si>
  <si>
    <t>Hai thanh RAM cùng loại DDR3 nhưng có bus là 1333MHz và 1600MHz thì khi cắm:</t>
  </si>
  <si>
    <t xml:space="preserve">RAM bus 3200 MHz lắp vào main hỗ trợ 2666 MHz. Ram sẽ nhận:
</t>
  </si>
  <si>
    <t>3200 MHz</t>
  </si>
  <si>
    <t>2666 MHz</t>
  </si>
  <si>
    <t>(2666 + 3200) MHz</t>
  </si>
  <si>
    <t>(2666 + 3200)/2 MHz</t>
  </si>
  <si>
    <t>Khi lắp RAM có tốc độ bus cao hơn mainboard hỗ trợ thì</t>
  </si>
  <si>
    <t>RAM chạy với tốc độ bus mà mainboard hỗ trợ.</t>
  </si>
  <si>
    <t>RAM chạy với tốc độ bus tối da của nó.</t>
  </si>
  <si>
    <t>Tốc độ đọc/ghi dữ liệu giữu ổ cứng SSD và HDD</t>
  </si>
  <si>
    <t>Tốc độ đọc/ghi dữ liệu của ổ cứng SSD nhanh hơn.</t>
  </si>
  <si>
    <t>Tốc độ đọc/ghi dữ liệu của ổ cứng HDD nhanh hơn.</t>
  </si>
  <si>
    <t>Tốc độ đọc/ghi dữ liệu của ổ cứng bằng nhau.</t>
  </si>
  <si>
    <t>Tốc độ đọc/ghi dữ liệu của ổ cứng SSD chậm hơn.</t>
  </si>
  <si>
    <t>ổ SSD sử công nghệ lưu trữ flash.</t>
  </si>
  <si>
    <t>ổ SSD sử công nghệ lưu trữ từ tính.</t>
  </si>
  <si>
    <t>ổ SSD sử công nghệ lưu trữ đĩa từ và đầu kim đọc dữ liệu</t>
  </si>
  <si>
    <t>Ổ cứng SSD lưu dữ liệu bằng công nghệ nào?</t>
  </si>
  <si>
    <t>ổ SSD chỉ để đọc dữ liệu. Dữ liệu được ghi vào từ lúc sản xuất.</t>
  </si>
  <si>
    <t>Không có vấn đề gì.</t>
  </si>
  <si>
    <t>Lắp được nhưng máy chạy chậm.</t>
  </si>
  <si>
    <t>Không lắp được CPU.</t>
  </si>
  <si>
    <t>Không nhận RAM.</t>
  </si>
  <si>
    <t>Chế độ UEFI khác BIOS Legacy ở điểm nào quan trọng nhất?</t>
  </si>
  <si>
    <t>Hỗ trợ ổ cứng dung lượng nhỏ hơn</t>
  </si>
  <si>
    <t>Hỗ trợ GPT và ổ &gt; 2TB</t>
  </si>
  <si>
    <t>Không cần bootloader</t>
  </si>
  <si>
    <t>Không hỗ trợ hệ điều hành</t>
  </si>
  <si>
    <t>Để cài Windows theo chuẩn UEFI, ổ cứng phải sử dụng:</t>
  </si>
  <si>
    <t>MBR</t>
  </si>
  <si>
    <t>GPT</t>
  </si>
  <si>
    <t>NTFS</t>
  </si>
  <si>
    <t>FAT16</t>
  </si>
  <si>
    <t>Nếu ổ cứng đang ở chuẩn MBR, muốn chuyển sang UEFI cần:</t>
  </si>
  <si>
    <t>Chuyển sang GPT</t>
  </si>
  <si>
    <t>Cài lại BIOS</t>
  </si>
  <si>
    <t>Nâng cấp RAM</t>
  </si>
  <si>
    <t>Khi cài Windows từ USB mà không boot được, cần kiểm tra:</t>
  </si>
  <si>
    <t>Boot Priority</t>
  </si>
  <si>
    <t>Ổ cứng</t>
  </si>
  <si>
    <t>Nếu BIOS để chế độ IDE thay vì AHCI, hậu quả có thể là:</t>
  </si>
  <si>
    <t>RAM chạy chậm</t>
  </si>
  <si>
    <t>SSD chạy chậm</t>
  </si>
  <si>
    <t>CPU chạy chậm</t>
  </si>
  <si>
    <t>VGA lỗi</t>
  </si>
  <si>
    <t>Nếu pin CMOS hết, máy sẽ gặp hiện tượng:</t>
  </si>
  <si>
    <t>Mất thời gian hệ thống</t>
  </si>
  <si>
    <t>Không nhận VGA</t>
  </si>
  <si>
    <t>Mất dữ liệu ổ cứng</t>
  </si>
  <si>
    <t>Định dạng USB phổ biến để tạo USB boot Windows là:</t>
  </si>
  <si>
    <t>FAT32</t>
  </si>
  <si>
    <t>exFAT</t>
  </si>
  <si>
    <t>Công cụ phổ biến để tạo USB boot Windows là:</t>
  </si>
  <si>
    <t>Rufus</t>
  </si>
  <si>
    <t>BlueStacks</t>
  </si>
  <si>
    <t>LDPlayer</t>
  </si>
  <si>
    <t>Excel</t>
  </si>
  <si>
    <t>Phân vùng hệ thống (System Partition) trong GPT thường có định dạng:</t>
  </si>
  <si>
    <t>RAW</t>
  </si>
  <si>
    <t>Nếu cài Windows trên ổ MBR nhưng BIOS đang ở UEFI, sẽ xảy ra:</t>
  </si>
  <si>
    <t>Cài bình thường</t>
  </si>
  <si>
    <t>Báo lỗi không cài được</t>
  </si>
  <si>
    <t>Trong quá trình tạo USB boot, thao tác “Start” trong Rufus có nghĩa là:</t>
  </si>
  <si>
    <t>Bắt đầu ghi file ISO vào USB</t>
  </si>
  <si>
    <t>Bắt đầu xóa Windows</t>
  </si>
  <si>
    <t>Bắt đầu xóa dữ liệu ổ cứng</t>
  </si>
  <si>
    <t>Tăng tốc USB</t>
  </si>
  <si>
    <t>Trong Norton Ghost, để sao lưu toàn bộ ổ đĩa, chọn:</t>
  </si>
  <si>
    <t>Partition to Image</t>
  </si>
  <si>
    <t>Disk to Image</t>
  </si>
  <si>
    <t>Disk to Partition</t>
  </si>
  <si>
    <t>Image to Disk</t>
  </si>
  <si>
    <t>Để ghost lại hệ điều hành từ file .gho, chọn:</t>
  </si>
  <si>
    <t>Image to Partition</t>
  </si>
  <si>
    <t>Format Disk</t>
  </si>
  <si>
    <t>Phần mềm dùng để tạo file .TIB là:</t>
  </si>
  <si>
    <t>Norton Ghost</t>
  </si>
  <si>
    <t>WinRAR</t>
  </si>
  <si>
    <t>File sao lưu của Acronis True Image có định dạng:</t>
  </si>
  <si>
    <t>.iso</t>
  </si>
  <si>
    <t>.gho</t>
  </si>
  <si>
    <t>.tib</t>
  </si>
  <si>
    <t>.img</t>
  </si>
  <si>
    <t>STT</t>
  </si>
  <si>
    <t xml:space="preserve"> Câu hỏi</t>
  </si>
  <si>
    <t>câu</t>
  </si>
  <si>
    <t>Chương 1</t>
  </si>
  <si>
    <t>Chương 2</t>
  </si>
  <si>
    <t>Chương 3 &amp; 4</t>
  </si>
  <si>
    <t>Chương 5</t>
  </si>
  <si>
    <t>Chương</t>
  </si>
  <si>
    <t>ĐA</t>
  </si>
  <si>
    <t>Đáp án</t>
  </si>
  <si>
    <t/>
  </si>
  <si>
    <t>Nhóm câu hỏi ở mức độ NHẬN BIẾT/ THÔNG HIỂU (A)</t>
  </si>
  <si>
    <t>Nhóm câu hỏi ở mức độ VẬN DỤNG (B)</t>
  </si>
  <si>
    <t>TT</t>
  </si>
  <si>
    <t>Nội dung câu hỏi</t>
  </si>
  <si>
    <t>Thang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</si>
</sst>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opLeftCell="B1" zoomScale="70" zoomScaleNormal="70" workbookViewId="0">
      <pane ySplit="1" topLeftCell="A2" activePane="bottomLeft" state="frozen"/>
      <selection pane="bottomLeft" activeCell="B2" sqref="B2:B121"/>
    </sheetView>
  </sheetViews>
  <sheetFormatPr defaultColWidth="9.140625" defaultRowHeight="46.5" customHeight="1" x14ac:dyDescent="0.25"/>
  <cols>
    <col min="1" max="1" width="4.7109375" style="11" hidden="1" customWidth="1"/>
    <col min="2" max="2" width="9.140625" style="11"/>
    <col min="3" max="3" width="77" style="3" customWidth="1"/>
    <col min="4" max="7" width="26.42578125" style="3" customWidth="1"/>
    <col min="8" max="8" width="6.7109375" style="2" customWidth="1"/>
    <col min="9" max="9" width="19.140625" style="5" customWidth="1"/>
    <col min="10" max="10" width="8.7109375" style="1" customWidth="1"/>
    <col min="11" max="11" width="16.5703125" style="1" customWidth="1"/>
    <col min="12" max="12" width="6.7109375" style="2" customWidth="1"/>
    <col min="13" max="13" width="9.140625" style="1"/>
    <col min="14" max="14" width="16.85546875" style="1" customWidth="1"/>
    <col min="15" max="15" width="9.140625" style="1"/>
    <col min="16" max="16" width="14.85546875" style="1" bestFit="1" customWidth="1"/>
    <col min="17" max="16384" width="9.140625" style="1"/>
  </cols>
  <sheetData>
    <row r="1" spans="1:17" s="8" customFormat="1" ht="46.5" customHeight="1" x14ac:dyDescent="0.25">
      <c r="A1" s="14"/>
      <c r="B1" s="17" t="s">
        <v>477</v>
      </c>
      <c r="C1" s="7" t="s">
        <v>478</v>
      </c>
      <c r="D1" s="7" t="s">
        <v>0</v>
      </c>
      <c r="E1" s="7" t="s">
        <v>1</v>
      </c>
      <c r="F1" s="7" t="s">
        <v>2</v>
      </c>
      <c r="G1" s="7" t="s">
        <v>3</v>
      </c>
      <c r="H1" s="18" t="s">
        <v>344</v>
      </c>
      <c r="I1" s="7" t="s">
        <v>345</v>
      </c>
      <c r="J1" s="7" t="s">
        <v>347</v>
      </c>
      <c r="K1" s="7" t="s">
        <v>343</v>
      </c>
      <c r="L1" s="18" t="s">
        <v>344</v>
      </c>
    </row>
    <row r="2" spans="1:17" ht="46.5" customHeight="1" x14ac:dyDescent="0.25">
      <c r="B2" s="10">
        <v>1</v>
      </c>
      <c r="C2" s="12" t="s">
        <v>403</v>
      </c>
      <c r="D2" s="12" t="s">
        <v>406</v>
      </c>
      <c r="E2" s="12" t="s">
        <v>405</v>
      </c>
      <c r="F2" s="12" t="s">
        <v>404</v>
      </c>
      <c r="G2" s="12" t="s">
        <v>407</v>
      </c>
      <c r="H2" s="23" t="s">
        <v>17</v>
      </c>
      <c r="I2" s="24" t="str">
        <f t="shared" ref="I2:I33" si="0">IF(H2="A",D2,IF(H2="B",E2,IF(H2="C",F2,IF(H2="D",G2))))</f>
        <v>Tốc độ đọc/ghi dữ liệu của ổ cứng SSD nhanh hơn.</v>
      </c>
      <c r="J2" s="12" t="s">
        <v>10</v>
      </c>
      <c r="K2" s="3" t="s">
        <v>480</v>
      </c>
      <c r="L2" s="23" t="s">
        <v>17</v>
      </c>
      <c r="N2" s="1" t="s">
        <v>10</v>
      </c>
      <c r="O2" s="1">
        <f>COUNTIF(J:J,N2)</f>
        <v>34</v>
      </c>
      <c r="P2" s="25">
        <f>O2/$Q$2*100%</f>
        <v>0.28333333333333333</v>
      </c>
      <c r="Q2" s="1">
        <f>SUM(O2:O4)</f>
        <v>120</v>
      </c>
    </row>
    <row r="3" spans="1:17" ht="46.5" customHeight="1" x14ac:dyDescent="0.25">
      <c r="B3" s="10">
        <v>2</v>
      </c>
      <c r="C3" s="3" t="s">
        <v>43</v>
      </c>
      <c r="D3" s="3" t="s">
        <v>44</v>
      </c>
      <c r="E3" s="3" t="s">
        <v>45</v>
      </c>
      <c r="F3" s="3" t="s">
        <v>19</v>
      </c>
      <c r="G3" s="3" t="s">
        <v>21</v>
      </c>
      <c r="H3" s="19" t="s">
        <v>9</v>
      </c>
      <c r="I3" s="20" t="str">
        <f t="shared" si="0"/>
        <v>Heatsink/Fan</v>
      </c>
      <c r="J3" s="3" t="s">
        <v>10</v>
      </c>
      <c r="K3" s="3" t="s">
        <v>480</v>
      </c>
      <c r="L3" s="19" t="s">
        <v>9</v>
      </c>
      <c r="N3" s="1" t="s">
        <v>51</v>
      </c>
      <c r="O3" s="1">
        <f>COUNTIF(J:J,N3)</f>
        <v>86</v>
      </c>
      <c r="P3" s="25">
        <f>O3/$Q$2*100%</f>
        <v>0.71666666666666667</v>
      </c>
    </row>
    <row r="4" spans="1:17" ht="46.5" customHeight="1" x14ac:dyDescent="0.25">
      <c r="B4" s="10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19" t="s">
        <v>9</v>
      </c>
      <c r="I4" s="20" t="str">
        <f t="shared" si="0"/>
        <v>288</v>
      </c>
      <c r="J4" s="3" t="s">
        <v>10</v>
      </c>
      <c r="K4" s="3" t="s">
        <v>480</v>
      </c>
      <c r="L4" s="19" t="s">
        <v>9</v>
      </c>
    </row>
    <row r="5" spans="1:17" s="11" customFormat="1" ht="46.5" customHeight="1" x14ac:dyDescent="0.25">
      <c r="B5" s="10">
        <v>4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19" t="s">
        <v>36</v>
      </c>
      <c r="I5" s="20" t="str">
        <f t="shared" si="0"/>
        <v>Lưu trữ tạm thời</v>
      </c>
      <c r="J5" s="3" t="s">
        <v>10</v>
      </c>
      <c r="K5" s="3" t="s">
        <v>480</v>
      </c>
      <c r="L5" s="19" t="s">
        <v>36</v>
      </c>
      <c r="N5" s="3" t="s">
        <v>480</v>
      </c>
      <c r="O5" s="11">
        <f>COUNTIF(K:K,N5)</f>
        <v>36</v>
      </c>
      <c r="Q5" s="11">
        <f>SUM(O5:O8)</f>
        <v>120</v>
      </c>
    </row>
    <row r="6" spans="1:17" ht="46.5" customHeight="1" x14ac:dyDescent="0.25">
      <c r="B6" s="10">
        <v>5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19" t="s">
        <v>9</v>
      </c>
      <c r="I6" s="20" t="str">
        <f t="shared" si="0"/>
        <v>2.5 inch</v>
      </c>
      <c r="J6" s="3" t="s">
        <v>10</v>
      </c>
      <c r="K6" s="3" t="s">
        <v>480</v>
      </c>
      <c r="L6" s="19" t="s">
        <v>9</v>
      </c>
      <c r="N6" s="3" t="s">
        <v>481</v>
      </c>
      <c r="O6" s="1">
        <f>COUNTIF(K:K,N6)</f>
        <v>11</v>
      </c>
    </row>
    <row r="7" spans="1:17" ht="46.5" customHeight="1" x14ac:dyDescent="0.25">
      <c r="B7" s="10">
        <v>6</v>
      </c>
      <c r="C7" s="3" t="s">
        <v>336</v>
      </c>
      <c r="D7" s="3" t="s">
        <v>349</v>
      </c>
      <c r="E7" s="3" t="s">
        <v>337</v>
      </c>
      <c r="F7" s="3" t="s">
        <v>338</v>
      </c>
      <c r="G7" s="3" t="s">
        <v>339</v>
      </c>
      <c r="H7" s="19" t="s">
        <v>9</v>
      </c>
      <c r="I7" s="20" t="str">
        <f t="shared" si="0"/>
        <v>Cáp SATA power</v>
      </c>
      <c r="J7" s="3" t="s">
        <v>10</v>
      </c>
      <c r="K7" s="3" t="s">
        <v>480</v>
      </c>
      <c r="L7" s="19" t="s">
        <v>9</v>
      </c>
      <c r="N7" s="3" t="s">
        <v>482</v>
      </c>
      <c r="O7" s="1">
        <f>COUNTIF(K:K,N7)</f>
        <v>29</v>
      </c>
    </row>
    <row r="8" spans="1:17" s="13" customFormat="1" ht="46.5" customHeight="1" x14ac:dyDescent="0.25">
      <c r="A8" s="11" t="s">
        <v>385</v>
      </c>
      <c r="B8" s="10">
        <v>7</v>
      </c>
      <c r="C8" s="12" t="s">
        <v>411</v>
      </c>
      <c r="D8" s="12" t="s">
        <v>409</v>
      </c>
      <c r="E8" s="12" t="s">
        <v>408</v>
      </c>
      <c r="F8" s="12" t="s">
        <v>410</v>
      </c>
      <c r="G8" s="12" t="s">
        <v>412</v>
      </c>
      <c r="H8" s="23" t="s">
        <v>9</v>
      </c>
      <c r="I8" s="24" t="str">
        <f t="shared" si="0"/>
        <v>ổ SSD sử công nghệ lưu trữ flash.</v>
      </c>
      <c r="J8" s="12" t="s">
        <v>10</v>
      </c>
      <c r="K8" s="3" t="s">
        <v>480</v>
      </c>
      <c r="L8" s="23" t="s">
        <v>9</v>
      </c>
      <c r="N8" s="3" t="s">
        <v>483</v>
      </c>
      <c r="O8" s="13">
        <f>COUNTIF(K:K,N8)</f>
        <v>44</v>
      </c>
    </row>
    <row r="9" spans="1:17" s="13" customFormat="1" ht="46.5" customHeight="1" x14ac:dyDescent="0.25">
      <c r="A9" s="11" t="s">
        <v>388</v>
      </c>
      <c r="B9" s="10">
        <v>8</v>
      </c>
      <c r="C9" s="3" t="s">
        <v>28</v>
      </c>
      <c r="D9" s="3" t="s">
        <v>20</v>
      </c>
      <c r="E9" s="3" t="s">
        <v>29</v>
      </c>
      <c r="F9" s="3" t="s">
        <v>30</v>
      </c>
      <c r="G9" s="3" t="s">
        <v>11</v>
      </c>
      <c r="H9" s="19" t="s">
        <v>9</v>
      </c>
      <c r="I9" s="20" t="str">
        <f t="shared" si="0"/>
        <v>PSU</v>
      </c>
      <c r="J9" s="3" t="s">
        <v>10</v>
      </c>
      <c r="K9" s="3" t="s">
        <v>480</v>
      </c>
      <c r="L9" s="19" t="s">
        <v>9</v>
      </c>
    </row>
    <row r="10" spans="1:17" ht="46.5" customHeight="1" x14ac:dyDescent="0.25">
      <c r="B10" s="10">
        <v>9</v>
      </c>
      <c r="C10" s="3" t="s">
        <v>340</v>
      </c>
      <c r="D10" s="3" t="s">
        <v>113</v>
      </c>
      <c r="E10" s="3" t="s">
        <v>162</v>
      </c>
      <c r="F10" s="3" t="s">
        <v>163</v>
      </c>
      <c r="G10" s="3" t="s">
        <v>341</v>
      </c>
      <c r="H10" s="19" t="s">
        <v>9</v>
      </c>
      <c r="I10" s="20" t="str">
        <f t="shared" si="0"/>
        <v>Không lắp được</v>
      </c>
      <c r="J10" s="3" t="s">
        <v>10</v>
      </c>
      <c r="K10" s="3" t="s">
        <v>480</v>
      </c>
      <c r="L10" s="19" t="s">
        <v>9</v>
      </c>
    </row>
    <row r="11" spans="1:17" ht="46.5" customHeight="1" x14ac:dyDescent="0.25">
      <c r="B11" s="10">
        <v>10</v>
      </c>
      <c r="C11" s="10" t="s">
        <v>328</v>
      </c>
      <c r="D11" s="10" t="s">
        <v>414</v>
      </c>
      <c r="E11" s="10" t="s">
        <v>415</v>
      </c>
      <c r="F11" s="10" t="s">
        <v>416</v>
      </c>
      <c r="G11" s="10" t="s">
        <v>413</v>
      </c>
      <c r="H11" s="21" t="s">
        <v>9</v>
      </c>
      <c r="I11" s="22" t="str">
        <f t="shared" si="0"/>
        <v>Không lắp được CPU.</v>
      </c>
      <c r="J11" s="10" t="s">
        <v>10</v>
      </c>
      <c r="K11" s="3" t="s">
        <v>480</v>
      </c>
      <c r="L11" s="21" t="s">
        <v>9</v>
      </c>
    </row>
    <row r="12" spans="1:17" ht="46.5" customHeight="1" x14ac:dyDescent="0.25">
      <c r="B12" s="10">
        <v>11</v>
      </c>
      <c r="C12" s="3" t="s">
        <v>331</v>
      </c>
      <c r="D12" s="3" t="s">
        <v>332</v>
      </c>
      <c r="E12" s="3" t="s">
        <v>333</v>
      </c>
      <c r="F12" s="3" t="s">
        <v>334</v>
      </c>
      <c r="G12" s="3" t="s">
        <v>335</v>
      </c>
      <c r="H12" s="19" t="s">
        <v>36</v>
      </c>
      <c r="I12" s="20" t="str">
        <f t="shared" si="0"/>
        <v>Có</v>
      </c>
      <c r="J12" s="3" t="s">
        <v>10</v>
      </c>
      <c r="K12" s="3" t="s">
        <v>480</v>
      </c>
      <c r="L12" s="19" t="s">
        <v>36</v>
      </c>
    </row>
    <row r="13" spans="1:17" ht="46.5" customHeight="1" x14ac:dyDescent="0.25">
      <c r="B13" s="10">
        <v>12</v>
      </c>
      <c r="C13" s="3" t="s">
        <v>348</v>
      </c>
      <c r="D13" s="3" t="s">
        <v>39</v>
      </c>
      <c r="E13" s="3" t="s">
        <v>40</v>
      </c>
      <c r="F13" s="3" t="s">
        <v>41</v>
      </c>
      <c r="G13" s="3" t="s">
        <v>42</v>
      </c>
      <c r="H13" s="19" t="s">
        <v>9</v>
      </c>
      <c r="I13" s="20" t="str">
        <f t="shared" si="0"/>
        <v>Bo mạch chủ</v>
      </c>
      <c r="J13" s="3" t="s">
        <v>10</v>
      </c>
      <c r="K13" s="3" t="s">
        <v>480</v>
      </c>
      <c r="L13" s="19" t="s">
        <v>9</v>
      </c>
    </row>
    <row r="14" spans="1:17" ht="46.5" customHeight="1" x14ac:dyDescent="0.25">
      <c r="B14" s="10">
        <v>13</v>
      </c>
      <c r="C14" s="3" t="s">
        <v>289</v>
      </c>
      <c r="D14" s="3" t="s">
        <v>290</v>
      </c>
      <c r="E14" s="3" t="s">
        <v>291</v>
      </c>
      <c r="F14" s="3" t="s">
        <v>292</v>
      </c>
      <c r="G14" s="3" t="s">
        <v>293</v>
      </c>
      <c r="H14" s="19" t="s">
        <v>36</v>
      </c>
      <c r="I14" s="20" t="str">
        <f t="shared" si="0"/>
        <v>L1</v>
      </c>
      <c r="J14" s="3" t="s">
        <v>10</v>
      </c>
      <c r="K14" s="3" t="s">
        <v>480</v>
      </c>
      <c r="L14" s="19" t="s">
        <v>36</v>
      </c>
    </row>
    <row r="15" spans="1:17" ht="46.5" customHeight="1" x14ac:dyDescent="0.25">
      <c r="B15" s="10">
        <v>14</v>
      </c>
      <c r="C15" s="3" t="s">
        <v>294</v>
      </c>
      <c r="D15" s="3" t="s">
        <v>295</v>
      </c>
      <c r="E15" s="3" t="s">
        <v>296</v>
      </c>
      <c r="F15" s="3" t="s">
        <v>297</v>
      </c>
      <c r="G15" s="3" t="s">
        <v>298</v>
      </c>
      <c r="H15" s="19" t="s">
        <v>17</v>
      </c>
      <c r="I15" s="20" t="str">
        <f t="shared" si="0"/>
        <v>Bộ nhớ cache L3 là 12 MB</v>
      </c>
      <c r="J15" s="3" t="s">
        <v>51</v>
      </c>
      <c r="K15" s="3" t="s">
        <v>480</v>
      </c>
      <c r="L15" s="19" t="s">
        <v>17</v>
      </c>
    </row>
    <row r="16" spans="1:17" ht="46.5" customHeight="1" x14ac:dyDescent="0.25">
      <c r="B16" s="10">
        <v>15</v>
      </c>
      <c r="C16" s="3" t="s">
        <v>294</v>
      </c>
      <c r="D16" s="3" t="s">
        <v>299</v>
      </c>
      <c r="E16" s="3" t="s">
        <v>300</v>
      </c>
      <c r="F16" s="3" t="s">
        <v>301</v>
      </c>
      <c r="G16" s="3" t="s">
        <v>302</v>
      </c>
      <c r="H16" s="19" t="s">
        <v>36</v>
      </c>
      <c r="I16" s="20" t="str">
        <f t="shared" si="0"/>
        <v>thế hệ thứ 8</v>
      </c>
      <c r="J16" s="3" t="s">
        <v>51</v>
      </c>
      <c r="K16" s="3" t="s">
        <v>480</v>
      </c>
      <c r="L16" s="19" t="s">
        <v>36</v>
      </c>
    </row>
    <row r="17" spans="1:12" ht="46.5" customHeight="1" x14ac:dyDescent="0.25">
      <c r="B17" s="10">
        <v>16</v>
      </c>
      <c r="C17" s="3" t="s">
        <v>284</v>
      </c>
      <c r="D17" s="3" t="s">
        <v>286</v>
      </c>
      <c r="E17" s="3" t="s">
        <v>287</v>
      </c>
      <c r="F17" s="3" t="s">
        <v>285</v>
      </c>
      <c r="G17" s="3" t="s">
        <v>288</v>
      </c>
      <c r="H17" s="19" t="s">
        <v>17</v>
      </c>
      <c r="I17" s="20" t="str">
        <f t="shared" si="0"/>
        <v>tăng băng thông truy cập bộ nhớ</v>
      </c>
      <c r="J17" s="3" t="s">
        <v>346</v>
      </c>
      <c r="K17" s="3" t="s">
        <v>480</v>
      </c>
      <c r="L17" s="19" t="s">
        <v>17</v>
      </c>
    </row>
    <row r="18" spans="1:12" ht="46.5" customHeight="1" x14ac:dyDescent="0.25">
      <c r="B18" s="10">
        <v>17</v>
      </c>
      <c r="C18" s="10" t="s">
        <v>393</v>
      </c>
      <c r="D18" s="3" t="s">
        <v>169</v>
      </c>
      <c r="E18" s="3" t="s">
        <v>170</v>
      </c>
      <c r="F18" s="3" t="s">
        <v>171</v>
      </c>
      <c r="G18" s="3" t="s">
        <v>172</v>
      </c>
      <c r="H18" s="19" t="s">
        <v>36</v>
      </c>
      <c r="I18" s="20" t="str">
        <f t="shared" si="0"/>
        <v>chạy theo bus thấp hơn</v>
      </c>
      <c r="J18" s="3" t="s">
        <v>51</v>
      </c>
      <c r="K18" s="3" t="s">
        <v>480</v>
      </c>
      <c r="L18" s="19" t="s">
        <v>36</v>
      </c>
    </row>
    <row r="19" spans="1:12" ht="46.5" customHeight="1" x14ac:dyDescent="0.25">
      <c r="B19" s="10">
        <v>18</v>
      </c>
      <c r="C19" s="3" t="s">
        <v>62</v>
      </c>
      <c r="D19" s="3" t="s">
        <v>63</v>
      </c>
      <c r="E19" s="3" t="s">
        <v>64</v>
      </c>
      <c r="F19" s="3" t="s">
        <v>65</v>
      </c>
      <c r="G19" s="3" t="s">
        <v>66</v>
      </c>
      <c r="H19" s="19" t="s">
        <v>9</v>
      </c>
      <c r="I19" s="20" t="str">
        <f t="shared" si="0"/>
        <v>AMD</v>
      </c>
      <c r="J19" s="3" t="s">
        <v>51</v>
      </c>
      <c r="K19" s="3" t="s">
        <v>480</v>
      </c>
      <c r="L19" s="19" t="s">
        <v>9</v>
      </c>
    </row>
    <row r="20" spans="1:12" ht="46.5" customHeight="1" x14ac:dyDescent="0.25">
      <c r="B20" s="10">
        <v>19</v>
      </c>
      <c r="C20" s="3" t="s">
        <v>57</v>
      </c>
      <c r="D20" s="3" t="s">
        <v>58</v>
      </c>
      <c r="E20" s="3" t="s">
        <v>59</v>
      </c>
      <c r="F20" s="3" t="s">
        <v>60</v>
      </c>
      <c r="G20" s="3" t="s">
        <v>61</v>
      </c>
      <c r="H20" s="19" t="s">
        <v>9</v>
      </c>
      <c r="I20" s="20" t="str">
        <f t="shared" si="0"/>
        <v>600 MB/s</v>
      </c>
      <c r="J20" s="3" t="s">
        <v>51</v>
      </c>
      <c r="K20" s="3" t="s">
        <v>480</v>
      </c>
      <c r="L20" s="19" t="s">
        <v>9</v>
      </c>
    </row>
    <row r="21" spans="1:12" ht="46.5" customHeight="1" x14ac:dyDescent="0.25">
      <c r="B21" s="10">
        <v>20</v>
      </c>
      <c r="C21" s="3" t="s">
        <v>68</v>
      </c>
      <c r="D21" s="3" t="s">
        <v>69</v>
      </c>
      <c r="E21" s="3" t="s">
        <v>70</v>
      </c>
      <c r="F21" s="3" t="s">
        <v>71</v>
      </c>
      <c r="G21" s="3" t="s">
        <v>72</v>
      </c>
      <c r="H21" s="19" t="s">
        <v>36</v>
      </c>
      <c r="I21" s="20" t="str">
        <f t="shared" si="0"/>
        <v>Tăng tốc độ truyền dữ liệu</v>
      </c>
      <c r="J21" s="3" t="s">
        <v>51</v>
      </c>
      <c r="K21" s="3" t="s">
        <v>480</v>
      </c>
      <c r="L21" s="19" t="s">
        <v>36</v>
      </c>
    </row>
    <row r="22" spans="1:12" ht="46.5" customHeight="1" x14ac:dyDescent="0.25">
      <c r="B22" s="10">
        <v>21</v>
      </c>
      <c r="C22" s="4" t="s">
        <v>326</v>
      </c>
      <c r="D22" s="6" t="s">
        <v>53</v>
      </c>
      <c r="E22" s="3" t="s">
        <v>54</v>
      </c>
      <c r="F22" s="3" t="s">
        <v>37</v>
      </c>
      <c r="G22" s="3" t="s">
        <v>55</v>
      </c>
      <c r="H22" s="19" t="s">
        <v>17</v>
      </c>
      <c r="I22" s="20" t="str">
        <f t="shared" si="0"/>
        <v>M.2</v>
      </c>
      <c r="J22" s="3" t="s">
        <v>51</v>
      </c>
      <c r="K22" s="3" t="s">
        <v>480</v>
      </c>
      <c r="L22" s="19" t="s">
        <v>17</v>
      </c>
    </row>
    <row r="23" spans="1:12" ht="46.5" customHeight="1" x14ac:dyDescent="0.25">
      <c r="B23" s="10">
        <v>22</v>
      </c>
      <c r="C23" s="3" t="s">
        <v>78</v>
      </c>
      <c r="D23" s="3" t="s">
        <v>79</v>
      </c>
      <c r="E23" s="3" t="s">
        <v>80</v>
      </c>
      <c r="F23" s="3" t="s">
        <v>81</v>
      </c>
      <c r="G23" s="3" t="s">
        <v>82</v>
      </c>
      <c r="H23" s="19" t="s">
        <v>9</v>
      </c>
      <c r="I23" s="20" t="str">
        <f t="shared" si="0"/>
        <v>Không có bộ phận cơ học</v>
      </c>
      <c r="J23" s="3" t="s">
        <v>51</v>
      </c>
      <c r="K23" s="3" t="s">
        <v>480</v>
      </c>
      <c r="L23" s="19" t="s">
        <v>9</v>
      </c>
    </row>
    <row r="24" spans="1:12" ht="46.5" customHeight="1" x14ac:dyDescent="0.25">
      <c r="B24" s="10">
        <v>23</v>
      </c>
      <c r="C24" s="3" t="s">
        <v>118</v>
      </c>
      <c r="D24" s="3" t="s">
        <v>119</v>
      </c>
      <c r="E24" s="3" t="s">
        <v>120</v>
      </c>
      <c r="F24" s="3" t="s">
        <v>121</v>
      </c>
      <c r="G24" s="3" t="s">
        <v>122</v>
      </c>
      <c r="H24" s="19" t="s">
        <v>36</v>
      </c>
      <c r="I24" s="20" t="str">
        <f t="shared" si="0"/>
        <v>Đĩa quay nhanh hơn</v>
      </c>
      <c r="J24" s="3" t="s">
        <v>51</v>
      </c>
      <c r="K24" s="3" t="s">
        <v>480</v>
      </c>
      <c r="L24" s="19" t="s">
        <v>36</v>
      </c>
    </row>
    <row r="25" spans="1:12" ht="46.5" customHeight="1" x14ac:dyDescent="0.25">
      <c r="B25" s="10">
        <v>24</v>
      </c>
      <c r="C25" s="3" t="s">
        <v>186</v>
      </c>
      <c r="D25" s="3" t="s">
        <v>187</v>
      </c>
      <c r="E25" s="3" t="s">
        <v>188</v>
      </c>
      <c r="F25" s="3" t="s">
        <v>189</v>
      </c>
      <c r="G25" s="3" t="s">
        <v>96</v>
      </c>
      <c r="H25" s="19" t="s">
        <v>36</v>
      </c>
      <c r="I25" s="20" t="str">
        <f t="shared" si="0"/>
        <v>không lắp được</v>
      </c>
      <c r="J25" s="3" t="s">
        <v>51</v>
      </c>
      <c r="K25" s="3" t="s">
        <v>480</v>
      </c>
      <c r="L25" s="19" t="s">
        <v>36</v>
      </c>
    </row>
    <row r="26" spans="1:12" ht="46.5" customHeight="1" x14ac:dyDescent="0.25">
      <c r="B26" s="10">
        <v>25</v>
      </c>
      <c r="C26" s="3" t="s">
        <v>317</v>
      </c>
      <c r="D26" s="3" t="s">
        <v>318</v>
      </c>
      <c r="E26" s="3" t="s">
        <v>316</v>
      </c>
      <c r="F26" s="3" t="s">
        <v>205</v>
      </c>
      <c r="G26" s="3" t="s">
        <v>124</v>
      </c>
      <c r="H26" s="19" t="s">
        <v>36</v>
      </c>
      <c r="I26" s="20" t="str">
        <f t="shared" si="0"/>
        <v>Nguồn không đủ công suất</v>
      </c>
      <c r="J26" s="3" t="s">
        <v>51</v>
      </c>
      <c r="K26" s="3" t="s">
        <v>480</v>
      </c>
      <c r="L26" s="19" t="s">
        <v>36</v>
      </c>
    </row>
    <row r="27" spans="1:12" ht="46.5" customHeight="1" x14ac:dyDescent="0.25">
      <c r="B27" s="10">
        <v>26</v>
      </c>
      <c r="C27" s="3" t="s">
        <v>164</v>
      </c>
      <c r="D27" s="3" t="s">
        <v>165</v>
      </c>
      <c r="E27" s="3" t="s">
        <v>166</v>
      </c>
      <c r="F27" s="3" t="s">
        <v>167</v>
      </c>
      <c r="G27" s="3" t="s">
        <v>168</v>
      </c>
      <c r="H27" s="19" t="s">
        <v>36</v>
      </c>
      <c r="I27" s="20" t="str">
        <f t="shared" si="0"/>
        <v>Máy nhỏ gọn</v>
      </c>
      <c r="J27" s="3" t="s">
        <v>51</v>
      </c>
      <c r="K27" s="3" t="s">
        <v>480</v>
      </c>
      <c r="L27" s="19" t="s">
        <v>36</v>
      </c>
    </row>
    <row r="28" spans="1:12" ht="46.5" customHeight="1" x14ac:dyDescent="0.25">
      <c r="B28" s="10">
        <v>27</v>
      </c>
      <c r="C28" s="3" t="s">
        <v>73</v>
      </c>
      <c r="D28" s="3" t="s">
        <v>74</v>
      </c>
      <c r="E28" s="3" t="s">
        <v>75</v>
      </c>
      <c r="F28" s="3" t="s">
        <v>76</v>
      </c>
      <c r="G28" s="3" t="s">
        <v>77</v>
      </c>
      <c r="H28" s="19" t="s">
        <v>36</v>
      </c>
      <c r="I28" s="20" t="str">
        <f t="shared" si="0"/>
        <v>ATX</v>
      </c>
      <c r="J28" s="3" t="s">
        <v>51</v>
      </c>
      <c r="K28" s="3" t="s">
        <v>480</v>
      </c>
      <c r="L28" s="19" t="s">
        <v>36</v>
      </c>
    </row>
    <row r="29" spans="1:12" ht="46.5" customHeight="1" x14ac:dyDescent="0.25">
      <c r="B29" s="10">
        <v>28</v>
      </c>
      <c r="C29" s="3" t="s">
        <v>356</v>
      </c>
      <c r="D29" s="3" t="s">
        <v>157</v>
      </c>
      <c r="E29" s="3" t="s">
        <v>158</v>
      </c>
      <c r="F29" s="3" t="s">
        <v>159</v>
      </c>
      <c r="G29" s="3" t="s">
        <v>160</v>
      </c>
      <c r="H29" s="19" t="s">
        <v>36</v>
      </c>
      <c r="I29" s="20" t="str">
        <f t="shared" si="0"/>
        <v>RAM chạy 2666MHz</v>
      </c>
      <c r="J29" s="3" t="s">
        <v>51</v>
      </c>
      <c r="K29" s="3" t="s">
        <v>480</v>
      </c>
      <c r="L29" s="19" t="s">
        <v>36</v>
      </c>
    </row>
    <row r="30" spans="1:12" ht="46.5" customHeight="1" x14ac:dyDescent="0.25">
      <c r="B30" s="10">
        <v>29</v>
      </c>
      <c r="C30" s="3" t="s">
        <v>84</v>
      </c>
      <c r="D30" s="3" t="s">
        <v>85</v>
      </c>
      <c r="E30" s="3" t="s">
        <v>86</v>
      </c>
      <c r="F30" s="3" t="s">
        <v>87</v>
      </c>
      <c r="G30" s="3" t="s">
        <v>88</v>
      </c>
      <c r="H30" s="19" t="s">
        <v>17</v>
      </c>
      <c r="I30" s="20" t="str">
        <f t="shared" si="0"/>
        <v>LGA1700</v>
      </c>
      <c r="J30" s="3" t="s">
        <v>51</v>
      </c>
      <c r="K30" s="3" t="s">
        <v>480</v>
      </c>
      <c r="L30" s="19" t="s">
        <v>17</v>
      </c>
    </row>
    <row r="31" spans="1:12" s="11" customFormat="1" ht="46.5" customHeight="1" x14ac:dyDescent="0.25">
      <c r="A31" s="11" t="s">
        <v>385</v>
      </c>
      <c r="B31" s="10">
        <v>30</v>
      </c>
      <c r="C31" s="3" t="s">
        <v>382</v>
      </c>
      <c r="D31" s="3" t="s">
        <v>109</v>
      </c>
      <c r="E31" s="3" t="s">
        <v>110</v>
      </c>
      <c r="F31" s="3" t="s">
        <v>111</v>
      </c>
      <c r="G31" s="3" t="s">
        <v>112</v>
      </c>
      <c r="H31" s="19" t="s">
        <v>36</v>
      </c>
      <c r="I31" s="20" t="str">
        <f t="shared" si="0"/>
        <v>Không chạy dual channel</v>
      </c>
      <c r="J31" s="3" t="s">
        <v>51</v>
      </c>
      <c r="K31" s="3" t="s">
        <v>480</v>
      </c>
      <c r="L31" s="19" t="s">
        <v>36</v>
      </c>
    </row>
    <row r="32" spans="1:12" ht="46.5" customHeight="1" x14ac:dyDescent="0.25">
      <c r="B32" s="10">
        <v>31</v>
      </c>
      <c r="C32" s="3" t="s">
        <v>180</v>
      </c>
      <c r="D32" s="3" t="s">
        <v>181</v>
      </c>
      <c r="E32" s="3" t="s">
        <v>182</v>
      </c>
      <c r="F32" s="3" t="s">
        <v>53</v>
      </c>
      <c r="G32" s="3" t="s">
        <v>14</v>
      </c>
      <c r="H32" s="19" t="s">
        <v>36</v>
      </c>
      <c r="I32" s="20" t="str">
        <f t="shared" si="0"/>
        <v>khe M.2</v>
      </c>
      <c r="J32" s="3" t="s">
        <v>51</v>
      </c>
      <c r="K32" s="3" t="s">
        <v>480</v>
      </c>
      <c r="L32" s="19" t="s">
        <v>36</v>
      </c>
    </row>
    <row r="33" spans="1:12" s="11" customFormat="1" ht="46.5" customHeight="1" x14ac:dyDescent="0.25">
      <c r="A33" s="11" t="s">
        <v>385</v>
      </c>
      <c r="B33" s="10">
        <v>32</v>
      </c>
      <c r="C33" s="10" t="s">
        <v>394</v>
      </c>
      <c r="D33" s="3" t="s">
        <v>329</v>
      </c>
      <c r="E33" s="3" t="s">
        <v>330</v>
      </c>
      <c r="F33" s="3" t="s">
        <v>111</v>
      </c>
      <c r="G33" s="3" t="s">
        <v>151</v>
      </c>
      <c r="H33" s="19" t="s">
        <v>9</v>
      </c>
      <c r="I33" s="20" t="str">
        <f t="shared" si="0"/>
        <v>Chạy ở 2666 MHz</v>
      </c>
      <c r="J33" s="3" t="s">
        <v>51</v>
      </c>
      <c r="K33" s="3" t="s">
        <v>480</v>
      </c>
      <c r="L33" s="19" t="s">
        <v>9</v>
      </c>
    </row>
    <row r="34" spans="1:12" ht="46.5" customHeight="1" x14ac:dyDescent="0.25">
      <c r="B34" s="10">
        <v>33</v>
      </c>
      <c r="C34" s="3" t="s">
        <v>114</v>
      </c>
      <c r="D34" s="3" t="s">
        <v>115</v>
      </c>
      <c r="E34" s="3" t="s">
        <v>14</v>
      </c>
      <c r="F34" s="3" t="s">
        <v>116</v>
      </c>
      <c r="G34" s="3" t="s">
        <v>117</v>
      </c>
      <c r="H34" s="19" t="s">
        <v>36</v>
      </c>
      <c r="I34" s="20" t="str">
        <f t="shared" ref="I34:I65" si="1">IF(H34="A",D34,IF(H34="B",E34,IF(H34="C",F34,IF(H34="D",G34))))</f>
        <v>PSU qua cáp PCIe</v>
      </c>
      <c r="J34" s="3" t="s">
        <v>51</v>
      </c>
      <c r="K34" s="3" t="s">
        <v>480</v>
      </c>
      <c r="L34" s="19" t="s">
        <v>36</v>
      </c>
    </row>
    <row r="35" spans="1:12" ht="46.5" customHeight="1" x14ac:dyDescent="0.25">
      <c r="B35" s="10">
        <v>34</v>
      </c>
      <c r="C35" s="10" t="s">
        <v>387</v>
      </c>
      <c r="D35" s="3" t="s">
        <v>389</v>
      </c>
      <c r="E35" s="3" t="s">
        <v>392</v>
      </c>
      <c r="F35" s="3" t="s">
        <v>390</v>
      </c>
      <c r="G35" s="3" t="s">
        <v>391</v>
      </c>
      <c r="H35" s="19" t="s">
        <v>36</v>
      </c>
      <c r="I35" s="20" t="str">
        <f t="shared" si="1"/>
        <v>Thiết bị phải có ít nhất 2 thanh RAM, cùng loại, cùng bus và có dung lượng giống nhau.</v>
      </c>
      <c r="J35" s="3" t="s">
        <v>51</v>
      </c>
      <c r="K35" s="3" t="s">
        <v>480</v>
      </c>
      <c r="L35" s="19" t="s">
        <v>36</v>
      </c>
    </row>
    <row r="36" spans="1:12" ht="46.5" customHeight="1" x14ac:dyDescent="0.25">
      <c r="B36" s="10">
        <v>35</v>
      </c>
      <c r="C36" s="3" t="s">
        <v>52</v>
      </c>
      <c r="D36" s="3" t="s">
        <v>53</v>
      </c>
      <c r="E36" s="3" t="s">
        <v>54</v>
      </c>
      <c r="F36" s="3" t="s">
        <v>55</v>
      </c>
      <c r="G36" s="3" t="s">
        <v>56</v>
      </c>
      <c r="H36" s="19" t="s">
        <v>9</v>
      </c>
      <c r="I36" s="20" t="str">
        <f t="shared" si="1"/>
        <v>PCIe</v>
      </c>
      <c r="J36" s="3" t="s">
        <v>51</v>
      </c>
      <c r="K36" s="3" t="s">
        <v>480</v>
      </c>
      <c r="L36" s="19" t="s">
        <v>9</v>
      </c>
    </row>
    <row r="37" spans="1:12" ht="46.5" customHeight="1" x14ac:dyDescent="0.25">
      <c r="B37" s="10">
        <v>36</v>
      </c>
      <c r="C37" s="3" t="s">
        <v>325</v>
      </c>
      <c r="D37" s="3" t="s">
        <v>38</v>
      </c>
      <c r="E37" s="3" t="s">
        <v>327</v>
      </c>
      <c r="F37" s="3" t="s">
        <v>53</v>
      </c>
      <c r="G37" s="3" t="s">
        <v>37</v>
      </c>
      <c r="H37" s="19" t="s">
        <v>9</v>
      </c>
      <c r="I37" s="20" t="str">
        <f t="shared" si="1"/>
        <v>PCIe x16</v>
      </c>
      <c r="J37" s="3" t="s">
        <v>51</v>
      </c>
      <c r="K37" s="3" t="s">
        <v>480</v>
      </c>
      <c r="L37" s="19" t="s">
        <v>9</v>
      </c>
    </row>
    <row r="38" spans="1:12" ht="46.5" customHeight="1" x14ac:dyDescent="0.25">
      <c r="B38" s="10">
        <v>37</v>
      </c>
      <c r="C38" s="3" t="s">
        <v>278</v>
      </c>
      <c r="D38" s="3" t="s">
        <v>279</v>
      </c>
      <c r="E38" s="3" t="s">
        <v>280</v>
      </c>
      <c r="F38" s="3" t="s">
        <v>281</v>
      </c>
      <c r="G38" s="3" t="s">
        <v>282</v>
      </c>
      <c r="H38" s="19" t="s">
        <v>36</v>
      </c>
      <c r="I38" s="20" t="str">
        <f t="shared" si="1"/>
        <v>xác định loại bo mạch chủ tương thích</v>
      </c>
      <c r="J38" s="3" t="s">
        <v>10</v>
      </c>
      <c r="K38" s="3" t="s">
        <v>481</v>
      </c>
      <c r="L38" s="19" t="s">
        <v>36</v>
      </c>
    </row>
    <row r="39" spans="1:12" ht="46.5" customHeight="1" x14ac:dyDescent="0.25">
      <c r="B39" s="10">
        <v>38</v>
      </c>
      <c r="C39" s="3" t="s">
        <v>18</v>
      </c>
      <c r="D39" s="3" t="s">
        <v>19</v>
      </c>
      <c r="E39" s="3" t="s">
        <v>20</v>
      </c>
      <c r="F39" s="3" t="s">
        <v>21</v>
      </c>
      <c r="G39" s="3" t="s">
        <v>22</v>
      </c>
      <c r="H39" s="19" t="s">
        <v>9</v>
      </c>
      <c r="I39" s="20" t="str">
        <f t="shared" si="1"/>
        <v>GPU</v>
      </c>
      <c r="J39" s="3" t="s">
        <v>10</v>
      </c>
      <c r="K39" s="3" t="s">
        <v>481</v>
      </c>
      <c r="L39" s="19" t="s">
        <v>9</v>
      </c>
    </row>
    <row r="40" spans="1:12" ht="46.5" customHeight="1" x14ac:dyDescent="0.25">
      <c r="B40" s="10">
        <v>39</v>
      </c>
      <c r="C40" s="3" t="s">
        <v>12</v>
      </c>
      <c r="D40" s="3" t="s">
        <v>13</v>
      </c>
      <c r="E40" s="3" t="s">
        <v>14</v>
      </c>
      <c r="F40" s="3" t="s">
        <v>15</v>
      </c>
      <c r="G40" s="3" t="s">
        <v>16</v>
      </c>
      <c r="H40" s="19" t="s">
        <v>17</v>
      </c>
      <c r="I40" s="20" t="str">
        <f t="shared" si="1"/>
        <v>CPU socket</v>
      </c>
      <c r="J40" s="3" t="s">
        <v>10</v>
      </c>
      <c r="K40" s="3" t="s">
        <v>481</v>
      </c>
      <c r="L40" s="19" t="s">
        <v>17</v>
      </c>
    </row>
    <row r="41" spans="1:12" ht="46.5" customHeight="1" x14ac:dyDescent="0.25">
      <c r="B41" s="10">
        <v>40</v>
      </c>
      <c r="C41" s="3" t="s">
        <v>273</v>
      </c>
      <c r="D41" s="3" t="s">
        <v>274</v>
      </c>
      <c r="E41" s="3" t="s">
        <v>275</v>
      </c>
      <c r="F41" s="3" t="s">
        <v>276</v>
      </c>
      <c r="G41" s="3" t="s">
        <v>277</v>
      </c>
      <c r="H41" s="19" t="s">
        <v>36</v>
      </c>
      <c r="I41" s="20" t="str">
        <f t="shared" si="1"/>
        <v>CPU có thể tự động tăng xung lên 4.0 GHz khi cần</v>
      </c>
      <c r="J41" s="3" t="s">
        <v>10</v>
      </c>
      <c r="K41" s="3" t="s">
        <v>481</v>
      </c>
      <c r="L41" s="19" t="s">
        <v>36</v>
      </c>
    </row>
    <row r="42" spans="1:12" ht="58.5" customHeight="1" x14ac:dyDescent="0.25">
      <c r="A42" s="11" t="s">
        <v>388</v>
      </c>
      <c r="B42" s="10">
        <v>41</v>
      </c>
      <c r="C42" s="3" t="s">
        <v>47</v>
      </c>
      <c r="D42" s="3" t="s">
        <v>48</v>
      </c>
      <c r="E42" s="3" t="s">
        <v>283</v>
      </c>
      <c r="F42" s="3" t="s">
        <v>49</v>
      </c>
      <c r="G42" s="3" t="s">
        <v>50</v>
      </c>
      <c r="H42" s="19" t="s">
        <v>9</v>
      </c>
      <c r="I42" s="20" t="str">
        <f t="shared" si="1"/>
        <v>Khác vị trí rãnh</v>
      </c>
      <c r="J42" s="3" t="s">
        <v>51</v>
      </c>
      <c r="K42" s="3" t="s">
        <v>481</v>
      </c>
      <c r="L42" s="19" t="s">
        <v>9</v>
      </c>
    </row>
    <row r="43" spans="1:12" ht="46.5" customHeight="1" x14ac:dyDescent="0.25">
      <c r="B43" s="10">
        <v>42</v>
      </c>
      <c r="C43" s="3" t="s">
        <v>99</v>
      </c>
      <c r="D43" s="15" t="s">
        <v>100</v>
      </c>
      <c r="E43" s="3" t="s">
        <v>101</v>
      </c>
      <c r="F43" s="3" t="s">
        <v>102</v>
      </c>
      <c r="G43" s="3" t="s">
        <v>103</v>
      </c>
      <c r="H43" s="19" t="s">
        <v>36</v>
      </c>
      <c r="I43" s="20" t="str">
        <f t="shared" si="1"/>
        <v>Máy tắt đột ngột</v>
      </c>
      <c r="J43" s="3" t="s">
        <v>51</v>
      </c>
      <c r="K43" s="3" t="s">
        <v>481</v>
      </c>
      <c r="L43" s="19" t="s">
        <v>36</v>
      </c>
    </row>
    <row r="44" spans="1:12" ht="46.5" customHeight="1" x14ac:dyDescent="0.25">
      <c r="A44" s="11" t="s">
        <v>385</v>
      </c>
      <c r="B44" s="10">
        <v>43</v>
      </c>
      <c r="C44" s="3" t="s">
        <v>89</v>
      </c>
      <c r="D44" s="3" t="s">
        <v>90</v>
      </c>
      <c r="E44" s="3" t="s">
        <v>91</v>
      </c>
      <c r="F44" s="3" t="s">
        <v>92</v>
      </c>
      <c r="G44" s="3" t="s">
        <v>93</v>
      </c>
      <c r="H44" s="19" t="s">
        <v>36</v>
      </c>
      <c r="I44" s="20" t="str">
        <f t="shared" si="1"/>
        <v>RAM lỏng</v>
      </c>
      <c r="J44" s="3" t="s">
        <v>51</v>
      </c>
      <c r="K44" s="3" t="s">
        <v>481</v>
      </c>
      <c r="L44" s="19" t="s">
        <v>36</v>
      </c>
    </row>
    <row r="45" spans="1:12" ht="46.5" customHeight="1" x14ac:dyDescent="0.25">
      <c r="B45" s="10">
        <v>44</v>
      </c>
      <c r="C45" s="3" t="s">
        <v>161</v>
      </c>
      <c r="D45" s="3" t="s">
        <v>162</v>
      </c>
      <c r="E45" s="3" t="s">
        <v>113</v>
      </c>
      <c r="F45" s="3" t="s">
        <v>163</v>
      </c>
      <c r="G45" s="3" t="s">
        <v>151</v>
      </c>
      <c r="H45" s="19" t="s">
        <v>36</v>
      </c>
      <c r="I45" s="20" t="str">
        <f t="shared" si="1"/>
        <v>Không lắp được</v>
      </c>
      <c r="J45" s="3" t="s">
        <v>51</v>
      </c>
      <c r="K45" s="3" t="s">
        <v>481</v>
      </c>
      <c r="L45" s="19" t="s">
        <v>36</v>
      </c>
    </row>
    <row r="46" spans="1:12" ht="46.5" customHeight="1" x14ac:dyDescent="0.25">
      <c r="B46" s="10">
        <v>45</v>
      </c>
      <c r="C46" s="3" t="s">
        <v>94</v>
      </c>
      <c r="D46" s="3" t="s">
        <v>95</v>
      </c>
      <c r="E46" s="3" t="s">
        <v>96</v>
      </c>
      <c r="F46" s="3" t="s">
        <v>97</v>
      </c>
      <c r="G46" s="3" t="s">
        <v>98</v>
      </c>
      <c r="H46" s="19" t="s">
        <v>36</v>
      </c>
      <c r="I46" s="20" t="str">
        <f t="shared" si="1"/>
        <v>Main không hỗ trợ NVMe</v>
      </c>
      <c r="J46" s="3" t="s">
        <v>51</v>
      </c>
      <c r="K46" s="3" t="s">
        <v>481</v>
      </c>
      <c r="L46" s="19" t="s">
        <v>36</v>
      </c>
    </row>
    <row r="47" spans="1:12" ht="46.5" customHeight="1" x14ac:dyDescent="0.25">
      <c r="A47" s="11" t="s">
        <v>388</v>
      </c>
      <c r="B47" s="10">
        <v>46</v>
      </c>
      <c r="C47" s="3" t="s">
        <v>342</v>
      </c>
      <c r="D47" s="3" t="s">
        <v>19</v>
      </c>
      <c r="E47" s="3" t="s">
        <v>83</v>
      </c>
      <c r="F47" s="3" t="s">
        <v>20</v>
      </c>
      <c r="G47" s="3" t="s">
        <v>22</v>
      </c>
      <c r="H47" s="19" t="s">
        <v>9</v>
      </c>
      <c r="I47" s="20" t="str">
        <f t="shared" si="1"/>
        <v>SSD NVMe</v>
      </c>
      <c r="J47" s="3" t="s">
        <v>51</v>
      </c>
      <c r="K47" s="3" t="s">
        <v>481</v>
      </c>
      <c r="L47" s="19" t="s">
        <v>9</v>
      </c>
    </row>
    <row r="48" spans="1:12" ht="46.5" customHeight="1" x14ac:dyDescent="0.25">
      <c r="B48" s="10">
        <v>47</v>
      </c>
      <c r="C48" s="3" t="s">
        <v>104</v>
      </c>
      <c r="D48" s="3" t="s">
        <v>105</v>
      </c>
      <c r="E48" s="3" t="s">
        <v>106</v>
      </c>
      <c r="F48" s="3" t="s">
        <v>107</v>
      </c>
      <c r="G48" s="3" t="s">
        <v>108</v>
      </c>
      <c r="H48" s="19" t="s">
        <v>36</v>
      </c>
      <c r="I48" s="20" t="str">
        <f t="shared" si="1"/>
        <v>Thiếu keo tản nhiệt</v>
      </c>
      <c r="J48" s="3" t="s">
        <v>51</v>
      </c>
      <c r="K48" s="3" t="s">
        <v>481</v>
      </c>
      <c r="L48" s="19" t="s">
        <v>36</v>
      </c>
    </row>
    <row r="49" spans="2:12" ht="46.5" customHeight="1" x14ac:dyDescent="0.25">
      <c r="B49" s="10">
        <v>48</v>
      </c>
      <c r="C49" s="3" t="s">
        <v>456</v>
      </c>
      <c r="D49" s="3" t="s">
        <v>458</v>
      </c>
      <c r="E49" s="3" t="s">
        <v>459</v>
      </c>
      <c r="F49" s="3" t="s">
        <v>457</v>
      </c>
      <c r="G49" s="3" t="s">
        <v>460</v>
      </c>
      <c r="H49" s="19" t="s">
        <v>17</v>
      </c>
      <c r="I49" s="20" t="str">
        <f t="shared" si="1"/>
        <v>Bắt đầu ghi file ISO vào USB</v>
      </c>
      <c r="J49" s="3" t="s">
        <v>51</v>
      </c>
      <c r="K49" s="3" t="s">
        <v>482</v>
      </c>
      <c r="L49" s="19" t="s">
        <v>17</v>
      </c>
    </row>
    <row r="50" spans="2:12" ht="46.5" customHeight="1" x14ac:dyDescent="0.25">
      <c r="B50" s="10">
        <v>49</v>
      </c>
      <c r="C50" s="3" t="s">
        <v>461</v>
      </c>
      <c r="D50" s="3" t="s">
        <v>462</v>
      </c>
      <c r="E50" s="3" t="s">
        <v>465</v>
      </c>
      <c r="F50" s="3" t="s">
        <v>464</v>
      </c>
      <c r="G50" s="3" t="s">
        <v>463</v>
      </c>
      <c r="H50" s="19" t="s">
        <v>67</v>
      </c>
      <c r="I50" s="20" t="str">
        <f t="shared" si="1"/>
        <v>Disk to Image</v>
      </c>
      <c r="J50" s="3" t="s">
        <v>51</v>
      </c>
      <c r="K50" s="3" t="s">
        <v>482</v>
      </c>
      <c r="L50" s="19" t="s">
        <v>67</v>
      </c>
    </row>
    <row r="51" spans="2:12" ht="46.5" customHeight="1" x14ac:dyDescent="0.25">
      <c r="B51" s="10">
        <v>50</v>
      </c>
      <c r="C51" s="3" t="s">
        <v>362</v>
      </c>
      <c r="D51" s="3" t="s">
        <v>230</v>
      </c>
      <c r="E51" s="3" t="s">
        <v>231</v>
      </c>
      <c r="F51" s="3" t="s">
        <v>232</v>
      </c>
      <c r="G51" s="3" t="s">
        <v>233</v>
      </c>
      <c r="H51" s="19" t="s">
        <v>9</v>
      </c>
      <c r="I51" s="20" t="str">
        <f t="shared" si="1"/>
        <v>System Image Backup</v>
      </c>
      <c r="J51" s="3" t="s">
        <v>51</v>
      </c>
      <c r="K51" s="3" t="s">
        <v>482</v>
      </c>
      <c r="L51" s="19" t="s">
        <v>9</v>
      </c>
    </row>
    <row r="52" spans="2:12" ht="46.5" customHeight="1" x14ac:dyDescent="0.25">
      <c r="B52" s="10">
        <v>51</v>
      </c>
      <c r="C52" s="3" t="s">
        <v>240</v>
      </c>
      <c r="D52" s="3" t="s">
        <v>56</v>
      </c>
      <c r="E52" s="3" t="s">
        <v>19</v>
      </c>
      <c r="F52" s="3" t="s">
        <v>241</v>
      </c>
      <c r="G52" s="3" t="s">
        <v>242</v>
      </c>
      <c r="H52" s="19" t="s">
        <v>17</v>
      </c>
      <c r="I52" s="20" t="str">
        <f t="shared" si="1"/>
        <v>HDD</v>
      </c>
      <c r="J52" s="3" t="s">
        <v>51</v>
      </c>
      <c r="K52" s="3" t="s">
        <v>482</v>
      </c>
      <c r="L52" s="19" t="s">
        <v>17</v>
      </c>
    </row>
    <row r="53" spans="2:12" ht="46.5" customHeight="1" x14ac:dyDescent="0.25">
      <c r="B53" s="10">
        <v>52</v>
      </c>
      <c r="C53" s="3" t="s">
        <v>264</v>
      </c>
      <c r="D53" s="3" t="s">
        <v>266</v>
      </c>
      <c r="E53" s="3" t="s">
        <v>265</v>
      </c>
      <c r="F53" s="3" t="s">
        <v>229</v>
      </c>
      <c r="G53" s="3" t="s">
        <v>245</v>
      </c>
      <c r="H53" s="19" t="s">
        <v>9</v>
      </c>
      <c r="I53" s="20" t="str">
        <f t="shared" si="1"/>
        <v>Rollback driver</v>
      </c>
      <c r="J53" s="3" t="s">
        <v>51</v>
      </c>
      <c r="K53" s="3" t="s">
        <v>482</v>
      </c>
      <c r="L53" s="19" t="s">
        <v>9</v>
      </c>
    </row>
    <row r="54" spans="2:12" ht="46.5" customHeight="1" x14ac:dyDescent="0.25">
      <c r="B54" s="10">
        <v>53</v>
      </c>
      <c r="C54" s="3" t="s">
        <v>451</v>
      </c>
      <c r="D54" s="3" t="s">
        <v>444</v>
      </c>
      <c r="E54" s="3" t="s">
        <v>445</v>
      </c>
      <c r="F54" s="3" t="s">
        <v>425</v>
      </c>
      <c r="G54" s="3" t="s">
        <v>452</v>
      </c>
      <c r="H54" s="19" t="s">
        <v>17</v>
      </c>
      <c r="I54" s="20" t="str">
        <f t="shared" si="1"/>
        <v>NTFS</v>
      </c>
      <c r="J54" s="3" t="s">
        <v>51</v>
      </c>
      <c r="K54" s="3" t="s">
        <v>482</v>
      </c>
      <c r="L54" s="19" t="s">
        <v>17</v>
      </c>
    </row>
    <row r="55" spans="2:12" ht="46.5" customHeight="1" x14ac:dyDescent="0.25">
      <c r="B55" s="10">
        <v>54</v>
      </c>
      <c r="C55" s="3" t="s">
        <v>361</v>
      </c>
      <c r="D55" s="3" t="s">
        <v>230</v>
      </c>
      <c r="E55" s="3" t="s">
        <v>239</v>
      </c>
      <c r="F55" s="3" t="s">
        <v>232</v>
      </c>
      <c r="G55" s="3" t="s">
        <v>233</v>
      </c>
      <c r="H55" s="19" t="s">
        <v>9</v>
      </c>
      <c r="I55" s="20" t="str">
        <f t="shared" si="1"/>
        <v>Acronis True Image</v>
      </c>
      <c r="J55" s="3" t="s">
        <v>51</v>
      </c>
      <c r="K55" s="3" t="s">
        <v>482</v>
      </c>
      <c r="L55" s="19" t="s">
        <v>9</v>
      </c>
    </row>
    <row r="56" spans="2:12" ht="46.5" customHeight="1" x14ac:dyDescent="0.25">
      <c r="B56" s="10">
        <v>55</v>
      </c>
      <c r="C56" s="3" t="s">
        <v>469</v>
      </c>
      <c r="D56" s="3" t="s">
        <v>470</v>
      </c>
      <c r="E56" s="3" t="s">
        <v>447</v>
      </c>
      <c r="F56" s="3" t="s">
        <v>239</v>
      </c>
      <c r="G56" s="3" t="s">
        <v>471</v>
      </c>
      <c r="H56" s="19" t="s">
        <v>17</v>
      </c>
      <c r="I56" s="20" t="str">
        <f t="shared" si="1"/>
        <v>Acronis True Image</v>
      </c>
      <c r="J56" s="3" t="s">
        <v>51</v>
      </c>
      <c r="K56" s="3" t="s">
        <v>482</v>
      </c>
      <c r="L56" s="19" t="s">
        <v>17</v>
      </c>
    </row>
    <row r="57" spans="2:12" ht="46.5" customHeight="1" x14ac:dyDescent="0.25">
      <c r="B57" s="10">
        <v>56</v>
      </c>
      <c r="C57" s="3" t="s">
        <v>439</v>
      </c>
      <c r="D57" s="3" t="s">
        <v>441</v>
      </c>
      <c r="E57" s="3" t="s">
        <v>442</v>
      </c>
      <c r="F57" s="3" t="s">
        <v>151</v>
      </c>
      <c r="G57" s="3" t="s">
        <v>440</v>
      </c>
      <c r="H57" s="19" t="s">
        <v>67</v>
      </c>
      <c r="I57" s="20" t="str">
        <f t="shared" si="1"/>
        <v>Mất thời gian hệ thống</v>
      </c>
      <c r="J57" s="3" t="s">
        <v>51</v>
      </c>
      <c r="K57" s="3" t="s">
        <v>482</v>
      </c>
      <c r="L57" s="19" t="s">
        <v>67</v>
      </c>
    </row>
    <row r="58" spans="2:12" ht="46.5" customHeight="1" x14ac:dyDescent="0.25">
      <c r="B58" s="10">
        <v>57</v>
      </c>
      <c r="C58" s="3" t="s">
        <v>427</v>
      </c>
      <c r="D58" s="3" t="s">
        <v>428</v>
      </c>
      <c r="E58" s="3" t="s">
        <v>229</v>
      </c>
      <c r="F58" s="3" t="s">
        <v>429</v>
      </c>
      <c r="G58" s="3" t="s">
        <v>430</v>
      </c>
      <c r="H58" s="19" t="s">
        <v>36</v>
      </c>
      <c r="I58" s="20" t="str">
        <f t="shared" si="1"/>
        <v>Chuyển sang GPT</v>
      </c>
      <c r="J58" s="3" t="s">
        <v>51</v>
      </c>
      <c r="K58" s="3" t="s">
        <v>482</v>
      </c>
      <c r="L58" s="19" t="s">
        <v>36</v>
      </c>
    </row>
    <row r="59" spans="2:12" ht="46.5" customHeight="1" x14ac:dyDescent="0.25">
      <c r="B59" s="10">
        <v>58</v>
      </c>
      <c r="C59" s="3" t="s">
        <v>359</v>
      </c>
      <c r="D59" s="3" t="s">
        <v>226</v>
      </c>
      <c r="E59" s="3" t="s">
        <v>227</v>
      </c>
      <c r="F59" s="3" t="s">
        <v>228</v>
      </c>
      <c r="G59" s="3" t="s">
        <v>229</v>
      </c>
      <c r="H59" s="19" t="s">
        <v>9</v>
      </c>
      <c r="I59" s="20" t="str">
        <f t="shared" si="1"/>
        <v>Restore System Image</v>
      </c>
      <c r="J59" s="3" t="s">
        <v>51</v>
      </c>
      <c r="K59" s="3" t="s">
        <v>482</v>
      </c>
      <c r="L59" s="19" t="s">
        <v>9</v>
      </c>
    </row>
    <row r="60" spans="2:12" ht="46.5" customHeight="1" x14ac:dyDescent="0.25">
      <c r="B60" s="10">
        <v>59</v>
      </c>
      <c r="C60" s="3" t="s">
        <v>360</v>
      </c>
      <c r="D60" s="3" t="s">
        <v>358</v>
      </c>
      <c r="E60" s="3" t="s">
        <v>244</v>
      </c>
      <c r="F60" s="3" t="s">
        <v>243</v>
      </c>
      <c r="G60" s="3" t="s">
        <v>246</v>
      </c>
      <c r="H60" s="19" t="s">
        <v>17</v>
      </c>
      <c r="I60" s="20" t="str">
        <f t="shared" si="1"/>
        <v>restore system image</v>
      </c>
      <c r="J60" s="3" t="s">
        <v>51</v>
      </c>
      <c r="K60" s="3" t="s">
        <v>482</v>
      </c>
      <c r="L60" s="19" t="s">
        <v>17</v>
      </c>
    </row>
    <row r="61" spans="2:12" ht="46.5" customHeight="1" x14ac:dyDescent="0.25">
      <c r="B61" s="10">
        <v>60</v>
      </c>
      <c r="C61" s="3" t="s">
        <v>453</v>
      </c>
      <c r="D61" s="3" t="s">
        <v>454</v>
      </c>
      <c r="E61" s="3" t="s">
        <v>455</v>
      </c>
      <c r="F61" s="3" t="s">
        <v>146</v>
      </c>
      <c r="G61" s="3" t="s">
        <v>151</v>
      </c>
      <c r="H61" s="19" t="s">
        <v>9</v>
      </c>
      <c r="I61" s="20" t="str">
        <f t="shared" si="1"/>
        <v>Báo lỗi không cài được</v>
      </c>
      <c r="J61" s="3" t="s">
        <v>51</v>
      </c>
      <c r="K61" s="3" t="s">
        <v>482</v>
      </c>
      <c r="L61" s="19" t="s">
        <v>9</v>
      </c>
    </row>
    <row r="62" spans="2:12" ht="46.5" customHeight="1" x14ac:dyDescent="0.25">
      <c r="B62" s="10">
        <v>61</v>
      </c>
      <c r="C62" s="3" t="s">
        <v>434</v>
      </c>
      <c r="D62" s="3" t="s">
        <v>435</v>
      </c>
      <c r="E62" s="3" t="s">
        <v>436</v>
      </c>
      <c r="F62" s="3" t="s">
        <v>437</v>
      </c>
      <c r="G62" s="3" t="s">
        <v>438</v>
      </c>
      <c r="H62" s="19" t="s">
        <v>36</v>
      </c>
      <c r="I62" s="20" t="str">
        <f t="shared" si="1"/>
        <v>RAM chạy chậm</v>
      </c>
      <c r="J62" s="3" t="s">
        <v>51</v>
      </c>
      <c r="K62" s="3" t="s">
        <v>482</v>
      </c>
      <c r="L62" s="19" t="s">
        <v>36</v>
      </c>
    </row>
    <row r="63" spans="2:12" ht="46.5" customHeight="1" x14ac:dyDescent="0.25">
      <c r="B63" s="10">
        <v>62</v>
      </c>
      <c r="C63" s="3" t="s">
        <v>247</v>
      </c>
      <c r="D63" s="3" t="s">
        <v>248</v>
      </c>
      <c r="E63" s="3" t="s">
        <v>249</v>
      </c>
      <c r="F63" s="3" t="s">
        <v>220</v>
      </c>
      <c r="G63" s="3" t="s">
        <v>211</v>
      </c>
      <c r="H63" s="19" t="s">
        <v>9</v>
      </c>
      <c r="I63" s="20" t="str">
        <f t="shared" si="1"/>
        <v>BIOS không nhận ổ cứng hoặc sai thứ tự boot</v>
      </c>
      <c r="J63" s="3" t="s">
        <v>51</v>
      </c>
      <c r="K63" s="3" t="s">
        <v>482</v>
      </c>
      <c r="L63" s="19" t="s">
        <v>9</v>
      </c>
    </row>
    <row r="64" spans="2:12" ht="46.5" customHeight="1" x14ac:dyDescent="0.25">
      <c r="B64" s="10">
        <v>63</v>
      </c>
      <c r="C64" s="3" t="s">
        <v>271</v>
      </c>
      <c r="D64" s="3" t="s">
        <v>256</v>
      </c>
      <c r="E64" s="3" t="s">
        <v>272</v>
      </c>
      <c r="F64" s="3" t="s">
        <v>248</v>
      </c>
      <c r="G64" s="3" t="s">
        <v>268</v>
      </c>
      <c r="H64" s="19" t="s">
        <v>9</v>
      </c>
      <c r="I64" s="20" t="str">
        <f t="shared" si="1"/>
        <v>Ổ cứng không có hệ điều hành</v>
      </c>
      <c r="J64" s="3" t="s">
        <v>51</v>
      </c>
      <c r="K64" s="3" t="s">
        <v>482</v>
      </c>
      <c r="L64" s="19" t="s">
        <v>9</v>
      </c>
    </row>
    <row r="65" spans="2:12" ht="46.5" customHeight="1" x14ac:dyDescent="0.25">
      <c r="B65" s="10">
        <v>64</v>
      </c>
      <c r="C65" s="3" t="s">
        <v>250</v>
      </c>
      <c r="D65" s="3" t="s">
        <v>252</v>
      </c>
      <c r="E65" s="3" t="s">
        <v>253</v>
      </c>
      <c r="F65" s="3" t="s">
        <v>251</v>
      </c>
      <c r="G65" s="3" t="s">
        <v>254</v>
      </c>
      <c r="H65" s="19" t="s">
        <v>17</v>
      </c>
      <c r="I65" s="20" t="str">
        <f t="shared" si="1"/>
        <v>Ổ cứng hoạt động quá tải</v>
      </c>
      <c r="J65" s="3" t="s">
        <v>51</v>
      </c>
      <c r="K65" s="3" t="s">
        <v>482</v>
      </c>
      <c r="L65" s="19" t="s">
        <v>17</v>
      </c>
    </row>
    <row r="66" spans="2:12" ht="46.5" customHeight="1" x14ac:dyDescent="0.25">
      <c r="B66" s="10">
        <v>65</v>
      </c>
      <c r="C66" s="3" t="s">
        <v>431</v>
      </c>
      <c r="D66" s="3" t="s">
        <v>432</v>
      </c>
      <c r="E66" s="3" t="s">
        <v>433</v>
      </c>
      <c r="F66" s="3" t="s">
        <v>19</v>
      </c>
      <c r="G66" s="3" t="s">
        <v>312</v>
      </c>
      <c r="H66" s="19" t="s">
        <v>36</v>
      </c>
      <c r="I66" s="20" t="str">
        <f t="shared" ref="I66:I97" si="2">IF(H66="A",D66,IF(H66="B",E66,IF(H66="C",F66,IF(H66="D",G66))))</f>
        <v>Boot Priority</v>
      </c>
      <c r="J66" s="3" t="s">
        <v>51</v>
      </c>
      <c r="K66" s="3" t="s">
        <v>482</v>
      </c>
      <c r="L66" s="19" t="s">
        <v>36</v>
      </c>
    </row>
    <row r="67" spans="2:12" ht="46.5" customHeight="1" x14ac:dyDescent="0.25">
      <c r="B67" s="10">
        <v>66</v>
      </c>
      <c r="C67" s="3" t="s">
        <v>222</v>
      </c>
      <c r="D67" s="3" t="s">
        <v>224</v>
      </c>
      <c r="E67" s="3" t="s">
        <v>210</v>
      </c>
      <c r="F67" s="3" t="s">
        <v>223</v>
      </c>
      <c r="G67" s="3" t="s">
        <v>225</v>
      </c>
      <c r="H67" s="19" t="s">
        <v>17</v>
      </c>
      <c r="I67" s="20" t="str">
        <f t="shared" si="2"/>
        <v>Thiếu thư viện hệ thống</v>
      </c>
      <c r="J67" s="3" t="s">
        <v>51</v>
      </c>
      <c r="K67" s="3" t="s">
        <v>482</v>
      </c>
      <c r="L67" s="19" t="s">
        <v>17</v>
      </c>
    </row>
    <row r="68" spans="2:12" ht="46.5" customHeight="1" x14ac:dyDescent="0.25">
      <c r="B68" s="10">
        <v>67</v>
      </c>
      <c r="C68" s="3" t="s">
        <v>217</v>
      </c>
      <c r="D68" s="3" t="s">
        <v>218</v>
      </c>
      <c r="E68" s="3" t="s">
        <v>357</v>
      </c>
      <c r="F68" s="3" t="s">
        <v>219</v>
      </c>
      <c r="G68" s="3" t="s">
        <v>221</v>
      </c>
      <c r="H68" s="19" t="s">
        <v>17</v>
      </c>
      <c r="I68" s="20" t="str">
        <f t="shared" si="2"/>
        <v>Cần kích hoạt bản quyền</v>
      </c>
      <c r="J68" s="3" t="s">
        <v>51</v>
      </c>
      <c r="K68" s="3" t="s">
        <v>482</v>
      </c>
      <c r="L68" s="19" t="s">
        <v>17</v>
      </c>
    </row>
    <row r="69" spans="2:12" ht="46.5" customHeight="1" x14ac:dyDescent="0.25">
      <c r="B69" s="10">
        <v>68</v>
      </c>
      <c r="C69" s="3" t="s">
        <v>383</v>
      </c>
      <c r="D69" s="3" t="s">
        <v>262</v>
      </c>
      <c r="E69" s="3" t="s">
        <v>256</v>
      </c>
      <c r="F69" s="3" t="s">
        <v>220</v>
      </c>
      <c r="G69" s="3" t="s">
        <v>263</v>
      </c>
      <c r="H69" s="19" t="s">
        <v>9</v>
      </c>
      <c r="I69" s="20" t="str">
        <f t="shared" si="2"/>
        <v>Không có quyền Administrator</v>
      </c>
      <c r="J69" s="3" t="s">
        <v>51</v>
      </c>
      <c r="K69" s="3" t="s">
        <v>482</v>
      </c>
      <c r="L69" s="19" t="s">
        <v>9</v>
      </c>
    </row>
    <row r="70" spans="2:12" ht="46.5" customHeight="1" x14ac:dyDescent="0.25">
      <c r="B70" s="10">
        <v>69</v>
      </c>
      <c r="C70" s="3" t="s">
        <v>364</v>
      </c>
      <c r="D70" s="3" t="s">
        <v>365</v>
      </c>
      <c r="E70" s="3" t="s">
        <v>257</v>
      </c>
      <c r="F70" s="3" t="s">
        <v>255</v>
      </c>
      <c r="G70" s="3" t="s">
        <v>256</v>
      </c>
      <c r="H70" s="19" t="s">
        <v>36</v>
      </c>
      <c r="I70" s="20" t="str">
        <f t="shared" si="2"/>
        <v>Giao tiếp mạng lỗi</v>
      </c>
      <c r="J70" s="3" t="s">
        <v>51</v>
      </c>
      <c r="K70" s="3" t="s">
        <v>482</v>
      </c>
      <c r="L70" s="19" t="s">
        <v>36</v>
      </c>
    </row>
    <row r="71" spans="2:12" ht="46.5" customHeight="1" x14ac:dyDescent="0.25">
      <c r="B71" s="10">
        <v>70</v>
      </c>
      <c r="C71" s="3" t="s">
        <v>363</v>
      </c>
      <c r="D71" s="3" t="s">
        <v>258</v>
      </c>
      <c r="E71" s="3" t="s">
        <v>259</v>
      </c>
      <c r="F71" s="3" t="s">
        <v>260</v>
      </c>
      <c r="G71" s="3" t="s">
        <v>261</v>
      </c>
      <c r="H71" s="19" t="s">
        <v>36</v>
      </c>
      <c r="I71" s="20" t="str">
        <f t="shared" si="2"/>
        <v>Ổ cứng gần đầy</v>
      </c>
      <c r="J71" s="3" t="s">
        <v>51</v>
      </c>
      <c r="K71" s="3" t="s">
        <v>482</v>
      </c>
      <c r="L71" s="19" t="s">
        <v>36</v>
      </c>
    </row>
    <row r="72" spans="2:12" ht="46.5" customHeight="1" x14ac:dyDescent="0.25">
      <c r="B72" s="10">
        <v>71</v>
      </c>
      <c r="C72" s="3" t="s">
        <v>472</v>
      </c>
      <c r="D72" s="3" t="s">
        <v>473</v>
      </c>
      <c r="E72" s="3" t="s">
        <v>474</v>
      </c>
      <c r="F72" s="3" t="s">
        <v>475</v>
      </c>
      <c r="G72" s="3" t="s">
        <v>476</v>
      </c>
      <c r="H72" s="19" t="s">
        <v>17</v>
      </c>
      <c r="I72" s="20" t="str">
        <f t="shared" si="2"/>
        <v>.tib</v>
      </c>
      <c r="J72" s="3" t="s">
        <v>51</v>
      </c>
      <c r="K72" s="3" t="s">
        <v>482</v>
      </c>
      <c r="L72" s="19" t="s">
        <v>17</v>
      </c>
    </row>
    <row r="73" spans="2:12" ht="46.5" customHeight="1" x14ac:dyDescent="0.25">
      <c r="B73" s="10">
        <v>72</v>
      </c>
      <c r="C73" s="3" t="s">
        <v>443</v>
      </c>
      <c r="D73" s="3" t="s">
        <v>424</v>
      </c>
      <c r="E73" s="3" t="s">
        <v>444</v>
      </c>
      <c r="F73" s="3" t="s">
        <v>426</v>
      </c>
      <c r="G73" s="3" t="s">
        <v>445</v>
      </c>
      <c r="H73" s="19" t="s">
        <v>9</v>
      </c>
      <c r="I73" s="20" t="str">
        <f t="shared" si="2"/>
        <v>FAT32</v>
      </c>
      <c r="J73" s="3" t="s">
        <v>51</v>
      </c>
      <c r="K73" s="3" t="s">
        <v>482</v>
      </c>
      <c r="L73" s="19" t="s">
        <v>9</v>
      </c>
    </row>
    <row r="74" spans="2:12" ht="46.5" customHeight="1" x14ac:dyDescent="0.25">
      <c r="B74" s="10">
        <v>73</v>
      </c>
      <c r="C74" s="3" t="s">
        <v>466</v>
      </c>
      <c r="D74" s="3" t="s">
        <v>463</v>
      </c>
      <c r="E74" s="3" t="s">
        <v>462</v>
      </c>
      <c r="F74" s="3" t="s">
        <v>467</v>
      </c>
      <c r="G74" s="3" t="s">
        <v>468</v>
      </c>
      <c r="H74" s="19" t="s">
        <v>17</v>
      </c>
      <c r="I74" s="20" t="str">
        <f t="shared" si="2"/>
        <v>Image to Partition</v>
      </c>
      <c r="J74" s="3" t="s">
        <v>51</v>
      </c>
      <c r="K74" s="3" t="s">
        <v>482</v>
      </c>
      <c r="L74" s="19" t="s">
        <v>17</v>
      </c>
    </row>
    <row r="75" spans="2:12" ht="46.5" customHeight="1" x14ac:dyDescent="0.25">
      <c r="B75" s="10">
        <v>74</v>
      </c>
      <c r="C75" s="3" t="s">
        <v>422</v>
      </c>
      <c r="D75" s="3" t="s">
        <v>423</v>
      </c>
      <c r="E75" s="3" t="s">
        <v>425</v>
      </c>
      <c r="F75" s="3" t="s">
        <v>426</v>
      </c>
      <c r="G75" s="3" t="s">
        <v>424</v>
      </c>
      <c r="H75" s="19" t="s">
        <v>67</v>
      </c>
      <c r="I75" s="20" t="str">
        <f t="shared" si="2"/>
        <v>GPT</v>
      </c>
      <c r="J75" s="3" t="s">
        <v>51</v>
      </c>
      <c r="K75" s="3" t="s">
        <v>482</v>
      </c>
      <c r="L75" s="19" t="s">
        <v>67</v>
      </c>
    </row>
    <row r="76" spans="2:12" ht="46.5" customHeight="1" x14ac:dyDescent="0.25">
      <c r="B76" s="10">
        <v>75</v>
      </c>
      <c r="C76" s="3" t="s">
        <v>446</v>
      </c>
      <c r="D76" s="3" t="s">
        <v>449</v>
      </c>
      <c r="E76" s="3" t="s">
        <v>450</v>
      </c>
      <c r="F76" s="3" t="s">
        <v>447</v>
      </c>
      <c r="G76" s="3" t="s">
        <v>448</v>
      </c>
      <c r="H76" s="19" t="s">
        <v>17</v>
      </c>
      <c r="I76" s="20" t="str">
        <f t="shared" si="2"/>
        <v>Rufus</v>
      </c>
      <c r="J76" s="3" t="s">
        <v>51</v>
      </c>
      <c r="K76" s="3" t="s">
        <v>482</v>
      </c>
      <c r="L76" s="19" t="s">
        <v>17</v>
      </c>
    </row>
    <row r="77" spans="2:12" ht="46.5" customHeight="1" x14ac:dyDescent="0.25">
      <c r="B77" s="10">
        <v>76</v>
      </c>
      <c r="C77" s="3" t="s">
        <v>417</v>
      </c>
      <c r="D77" s="3" t="s">
        <v>418</v>
      </c>
      <c r="E77" s="3" t="s">
        <v>419</v>
      </c>
      <c r="F77" s="3" t="s">
        <v>420</v>
      </c>
      <c r="G77" s="3" t="s">
        <v>421</v>
      </c>
      <c r="H77" s="19" t="s">
        <v>9</v>
      </c>
      <c r="I77" s="20" t="str">
        <f t="shared" si="2"/>
        <v>Hỗ trợ GPT và ổ &gt; 2TB</v>
      </c>
      <c r="J77" s="3" t="s">
        <v>51</v>
      </c>
      <c r="K77" s="3" t="s">
        <v>482</v>
      </c>
      <c r="L77" s="19" t="s">
        <v>9</v>
      </c>
    </row>
    <row r="78" spans="2:12" ht="46.5" customHeight="1" x14ac:dyDescent="0.25">
      <c r="B78" s="10">
        <v>77</v>
      </c>
      <c r="C78" s="3" t="s">
        <v>132</v>
      </c>
      <c r="D78" s="3" t="s">
        <v>133</v>
      </c>
      <c r="E78" s="3" t="s">
        <v>134</v>
      </c>
      <c r="F78" s="3" t="s">
        <v>91</v>
      </c>
      <c r="G78" s="3" t="s">
        <v>106</v>
      </c>
      <c r="H78" s="19" t="s">
        <v>9</v>
      </c>
      <c r="I78" s="20" t="str">
        <f t="shared" si="2"/>
        <v>CPU quá nóng</v>
      </c>
      <c r="J78" s="3" t="s">
        <v>10</v>
      </c>
      <c r="K78" s="3" t="s">
        <v>483</v>
      </c>
      <c r="L78" s="19" t="s">
        <v>9</v>
      </c>
    </row>
    <row r="79" spans="2:12" ht="46.5" customHeight="1" x14ac:dyDescent="0.25">
      <c r="B79" s="10">
        <v>78</v>
      </c>
      <c r="C79" s="3" t="s">
        <v>355</v>
      </c>
      <c r="D79" s="3" t="s">
        <v>138</v>
      </c>
      <c r="E79" s="3" t="s">
        <v>139</v>
      </c>
      <c r="F79" s="3" t="s">
        <v>140</v>
      </c>
      <c r="G79" s="3" t="s">
        <v>128</v>
      </c>
      <c r="H79" s="19" t="s">
        <v>9</v>
      </c>
      <c r="I79" s="20" t="str">
        <f t="shared" si="2"/>
        <v>CPU quá nhiệt</v>
      </c>
      <c r="J79" s="3" t="s">
        <v>10</v>
      </c>
      <c r="K79" s="3" t="s">
        <v>483</v>
      </c>
      <c r="L79" s="19" t="s">
        <v>9</v>
      </c>
    </row>
    <row r="80" spans="2:12" ht="46.5" customHeight="1" x14ac:dyDescent="0.25">
      <c r="B80" s="10">
        <v>79</v>
      </c>
      <c r="C80" s="3" t="s">
        <v>149</v>
      </c>
      <c r="D80" s="3" t="s">
        <v>150</v>
      </c>
      <c r="E80" s="3" t="s">
        <v>151</v>
      </c>
      <c r="F80" s="3" t="s">
        <v>152</v>
      </c>
      <c r="G80" s="3" t="s">
        <v>153</v>
      </c>
      <c r="H80" s="19" t="s">
        <v>36</v>
      </c>
      <c r="I80" s="20" t="str">
        <f t="shared" si="2"/>
        <v>Không nhận ổ</v>
      </c>
      <c r="J80" s="3" t="s">
        <v>10</v>
      </c>
      <c r="K80" s="3" t="s">
        <v>483</v>
      </c>
      <c r="L80" s="19" t="s">
        <v>36</v>
      </c>
    </row>
    <row r="81" spans="1:12" ht="46.5" customHeight="1" x14ac:dyDescent="0.25">
      <c r="B81" s="10">
        <v>80</v>
      </c>
      <c r="C81" s="3" t="s">
        <v>354</v>
      </c>
      <c r="D81" s="3" t="s">
        <v>141</v>
      </c>
      <c r="E81" s="3" t="s">
        <v>96</v>
      </c>
      <c r="F81" s="3" t="s">
        <v>142</v>
      </c>
      <c r="G81" s="3" t="s">
        <v>143</v>
      </c>
      <c r="H81" s="19" t="s">
        <v>36</v>
      </c>
      <c r="I81" s="20" t="str">
        <f t="shared" si="2"/>
        <v>HDD không nhận</v>
      </c>
      <c r="J81" s="3" t="s">
        <v>10</v>
      </c>
      <c r="K81" s="3" t="s">
        <v>483</v>
      </c>
      <c r="L81" s="19" t="s">
        <v>36</v>
      </c>
    </row>
    <row r="82" spans="1:12" ht="46.5" customHeight="1" x14ac:dyDescent="0.25">
      <c r="B82" s="10">
        <v>81</v>
      </c>
      <c r="C82" s="3" t="s">
        <v>234</v>
      </c>
      <c r="D82" s="3" t="s">
        <v>237</v>
      </c>
      <c r="E82" s="3" t="s">
        <v>236</v>
      </c>
      <c r="F82" s="3" t="s">
        <v>235</v>
      </c>
      <c r="G82" s="3" t="s">
        <v>238</v>
      </c>
      <c r="H82" s="19" t="s">
        <v>9</v>
      </c>
      <c r="I82" s="20" t="str">
        <f t="shared" si="2"/>
        <v>Mất dữ liệu khi ổ cứng hỏng</v>
      </c>
      <c r="J82" s="3" t="s">
        <v>10</v>
      </c>
      <c r="K82" s="3" t="s">
        <v>483</v>
      </c>
      <c r="L82" s="19" t="s">
        <v>9</v>
      </c>
    </row>
    <row r="83" spans="1:12" ht="46.5" customHeight="1" x14ac:dyDescent="0.25">
      <c r="B83" s="10">
        <v>82</v>
      </c>
      <c r="C83" s="3" t="s">
        <v>125</v>
      </c>
      <c r="D83" s="3" t="s">
        <v>96</v>
      </c>
      <c r="E83" s="3" t="s">
        <v>126</v>
      </c>
      <c r="F83" s="3" t="s">
        <v>127</v>
      </c>
      <c r="G83" s="3" t="s">
        <v>128</v>
      </c>
      <c r="H83" s="19" t="s">
        <v>9</v>
      </c>
      <c r="I83" s="20" t="str">
        <f t="shared" si="2"/>
        <v>PSU chưa cấp điện</v>
      </c>
      <c r="J83" s="3" t="s">
        <v>10</v>
      </c>
      <c r="K83" s="3" t="s">
        <v>483</v>
      </c>
      <c r="L83" s="19" t="s">
        <v>9</v>
      </c>
    </row>
    <row r="84" spans="1:12" ht="46.5" customHeight="1" x14ac:dyDescent="0.25">
      <c r="B84" s="10">
        <v>83</v>
      </c>
      <c r="C84" s="3" t="s">
        <v>353</v>
      </c>
      <c r="D84" s="3" t="s">
        <v>207</v>
      </c>
      <c r="E84" s="3" t="s">
        <v>106</v>
      </c>
      <c r="F84" s="3" t="s">
        <v>127</v>
      </c>
      <c r="G84" s="3" t="s">
        <v>137</v>
      </c>
      <c r="H84" s="19" t="s">
        <v>36</v>
      </c>
      <c r="I84" s="20" t="str">
        <f t="shared" si="2"/>
        <v>Chưa cài hệ điều hành</v>
      </c>
      <c r="J84" s="3" t="s">
        <v>10</v>
      </c>
      <c r="K84" s="3" t="s">
        <v>483</v>
      </c>
      <c r="L84" s="19" t="s">
        <v>36</v>
      </c>
    </row>
    <row r="85" spans="1:12" ht="46.5" customHeight="1" x14ac:dyDescent="0.25">
      <c r="B85" s="10">
        <v>84</v>
      </c>
      <c r="C85" s="3" t="s">
        <v>352</v>
      </c>
      <c r="D85" s="3" t="s">
        <v>106</v>
      </c>
      <c r="E85" s="3" t="s">
        <v>148</v>
      </c>
      <c r="F85" s="3" t="s">
        <v>134</v>
      </c>
      <c r="G85" s="3" t="s">
        <v>144</v>
      </c>
      <c r="H85" s="19" t="s">
        <v>9</v>
      </c>
      <c r="I85" s="20" t="str">
        <f t="shared" si="2"/>
        <v>Lắp sai khe M.2</v>
      </c>
      <c r="J85" s="3" t="s">
        <v>10</v>
      </c>
      <c r="K85" s="3" t="s">
        <v>483</v>
      </c>
      <c r="L85" s="19" t="s">
        <v>9</v>
      </c>
    </row>
    <row r="86" spans="1:12" s="9" customFormat="1" ht="46.5" customHeight="1" x14ac:dyDescent="0.25">
      <c r="A86" s="11"/>
      <c r="B86" s="10">
        <v>85</v>
      </c>
      <c r="C86" s="3" t="s">
        <v>351</v>
      </c>
      <c r="D86" s="3" t="s">
        <v>155</v>
      </c>
      <c r="E86" s="3" t="s">
        <v>91</v>
      </c>
      <c r="F86" s="3" t="s">
        <v>156</v>
      </c>
      <c r="G86" s="3" t="s">
        <v>127</v>
      </c>
      <c r="H86" s="19" t="s">
        <v>36</v>
      </c>
      <c r="I86" s="20" t="str">
        <f t="shared" si="2"/>
        <v>PSU yếu</v>
      </c>
      <c r="J86" s="3" t="s">
        <v>10</v>
      </c>
      <c r="K86" s="3" t="s">
        <v>483</v>
      </c>
      <c r="L86" s="19" t="s">
        <v>36</v>
      </c>
    </row>
    <row r="87" spans="1:12" ht="46.5" customHeight="1" x14ac:dyDescent="0.25">
      <c r="B87" s="10">
        <v>86</v>
      </c>
      <c r="C87" s="3" t="s">
        <v>154</v>
      </c>
      <c r="D87" s="3" t="s">
        <v>96</v>
      </c>
      <c r="E87" s="3" t="s">
        <v>131</v>
      </c>
      <c r="F87" s="3" t="s">
        <v>137</v>
      </c>
      <c r="G87" s="3" t="s">
        <v>126</v>
      </c>
      <c r="H87" s="19" t="s">
        <v>36</v>
      </c>
      <c r="I87" s="20" t="str">
        <f t="shared" si="2"/>
        <v>RAM lỗi</v>
      </c>
      <c r="J87" s="3" t="s">
        <v>10</v>
      </c>
      <c r="K87" s="3" t="s">
        <v>483</v>
      </c>
      <c r="L87" s="19" t="s">
        <v>36</v>
      </c>
    </row>
    <row r="88" spans="1:12" s="9" customFormat="1" ht="46.5" customHeight="1" x14ac:dyDescent="0.25">
      <c r="A88" s="11"/>
      <c r="B88" s="10">
        <v>87</v>
      </c>
      <c r="C88" s="3" t="s">
        <v>135</v>
      </c>
      <c r="D88" s="3" t="s">
        <v>136</v>
      </c>
      <c r="E88" s="3" t="s">
        <v>127</v>
      </c>
      <c r="F88" s="3" t="s">
        <v>96</v>
      </c>
      <c r="G88" s="3" t="s">
        <v>137</v>
      </c>
      <c r="H88" s="19" t="s">
        <v>36</v>
      </c>
      <c r="I88" s="20" t="str">
        <f t="shared" si="2"/>
        <v>SATA chưa cắm</v>
      </c>
      <c r="J88" s="3" t="s">
        <v>10</v>
      </c>
      <c r="K88" s="3" t="s">
        <v>483</v>
      </c>
      <c r="L88" s="19" t="s">
        <v>36</v>
      </c>
    </row>
    <row r="89" spans="1:12" ht="46.5" customHeight="1" x14ac:dyDescent="0.25">
      <c r="B89" s="10">
        <v>88</v>
      </c>
      <c r="C89" s="3" t="s">
        <v>129</v>
      </c>
      <c r="D89" s="3" t="s">
        <v>90</v>
      </c>
      <c r="E89" s="3" t="s">
        <v>130</v>
      </c>
      <c r="F89" s="3" t="s">
        <v>91</v>
      </c>
      <c r="G89" s="3" t="s">
        <v>131</v>
      </c>
      <c r="H89" s="19" t="s">
        <v>36</v>
      </c>
      <c r="I89" s="20" t="str">
        <f t="shared" si="2"/>
        <v>RAM lỏng</v>
      </c>
      <c r="J89" s="3" t="s">
        <v>10</v>
      </c>
      <c r="K89" s="3" t="s">
        <v>483</v>
      </c>
      <c r="L89" s="19" t="s">
        <v>36</v>
      </c>
    </row>
    <row r="90" spans="1:12" ht="46.5" customHeight="1" x14ac:dyDescent="0.25">
      <c r="B90" s="10">
        <v>89</v>
      </c>
      <c r="C90" s="10" t="s">
        <v>400</v>
      </c>
      <c r="D90" s="10" t="s">
        <v>401</v>
      </c>
      <c r="E90" s="10" t="s">
        <v>402</v>
      </c>
      <c r="F90" s="10" t="s">
        <v>140</v>
      </c>
      <c r="G90" s="10" t="s">
        <v>144</v>
      </c>
      <c r="H90" s="21" t="s">
        <v>36</v>
      </c>
      <c r="I90" s="22" t="str">
        <f t="shared" si="2"/>
        <v>RAM chạy với tốc độ bus mà mainboard hỗ trợ.</v>
      </c>
      <c r="J90" s="10" t="s">
        <v>10</v>
      </c>
      <c r="K90" s="3" t="s">
        <v>483</v>
      </c>
      <c r="L90" s="21" t="s">
        <v>36</v>
      </c>
    </row>
    <row r="91" spans="1:12" ht="46.5" customHeight="1" x14ac:dyDescent="0.25">
      <c r="B91" s="10">
        <v>90</v>
      </c>
      <c r="C91" s="3" t="s">
        <v>322</v>
      </c>
      <c r="D91" s="3" t="s">
        <v>260</v>
      </c>
      <c r="E91" s="3" t="s">
        <v>303</v>
      </c>
      <c r="F91" s="6" t="s">
        <v>323</v>
      </c>
      <c r="G91" s="6" t="s">
        <v>195</v>
      </c>
      <c r="H91" s="19" t="s">
        <v>17</v>
      </c>
      <c r="I91" s="20" t="str">
        <f t="shared" si="2"/>
        <v>Hệ thống khởi động bình thường</v>
      </c>
      <c r="J91" s="3" t="s">
        <v>10</v>
      </c>
      <c r="K91" s="3" t="s">
        <v>483</v>
      </c>
      <c r="L91" s="19" t="s">
        <v>17</v>
      </c>
    </row>
    <row r="92" spans="1:12" ht="46.5" customHeight="1" x14ac:dyDescent="0.25">
      <c r="B92" s="10">
        <v>91</v>
      </c>
      <c r="C92" s="3" t="s">
        <v>350</v>
      </c>
      <c r="D92" s="3" t="s">
        <v>13</v>
      </c>
      <c r="E92" s="3" t="s">
        <v>46</v>
      </c>
      <c r="F92" s="3" t="s">
        <v>16</v>
      </c>
      <c r="G92" s="3" t="s">
        <v>15</v>
      </c>
      <c r="H92" s="19" t="s">
        <v>9</v>
      </c>
      <c r="I92" s="20" t="str">
        <f t="shared" si="2"/>
        <v>DIMM slot</v>
      </c>
      <c r="J92" s="3" t="s">
        <v>10</v>
      </c>
      <c r="K92" s="3" t="s">
        <v>483</v>
      </c>
      <c r="L92" s="19" t="s">
        <v>9</v>
      </c>
    </row>
    <row r="93" spans="1:12" ht="46.5" customHeight="1" x14ac:dyDescent="0.25">
      <c r="B93" s="10">
        <v>92</v>
      </c>
      <c r="C93" s="10" t="s">
        <v>386</v>
      </c>
      <c r="D93" s="10" t="s">
        <v>145</v>
      </c>
      <c r="E93" s="10" t="s">
        <v>146</v>
      </c>
      <c r="F93" s="10" t="s">
        <v>147</v>
      </c>
      <c r="G93" s="10" t="s">
        <v>142</v>
      </c>
      <c r="H93" s="21" t="s">
        <v>36</v>
      </c>
      <c r="I93" s="22" t="str">
        <f t="shared" si="2"/>
        <v>Máy không boot</v>
      </c>
      <c r="J93" s="10" t="s">
        <v>10</v>
      </c>
      <c r="K93" s="3" t="s">
        <v>483</v>
      </c>
      <c r="L93" s="21" t="s">
        <v>36</v>
      </c>
    </row>
    <row r="94" spans="1:12" ht="46.5" customHeight="1" x14ac:dyDescent="0.25">
      <c r="B94" s="10">
        <v>93</v>
      </c>
      <c r="C94" s="3" t="s">
        <v>212</v>
      </c>
      <c r="D94" s="3" t="s">
        <v>213</v>
      </c>
      <c r="E94" s="3" t="s">
        <v>214</v>
      </c>
      <c r="F94" s="3" t="s">
        <v>215</v>
      </c>
      <c r="G94" s="3" t="s">
        <v>216</v>
      </c>
      <c r="H94" s="19" t="s">
        <v>9</v>
      </c>
      <c r="I94" s="20" t="str">
        <f t="shared" si="2"/>
        <v>Admin</v>
      </c>
      <c r="J94" s="3" t="s">
        <v>10</v>
      </c>
      <c r="K94" s="3" t="s">
        <v>483</v>
      </c>
      <c r="L94" s="19" t="s">
        <v>9</v>
      </c>
    </row>
    <row r="95" spans="1:12" ht="46.5" customHeight="1" x14ac:dyDescent="0.25">
      <c r="B95" s="10">
        <v>94</v>
      </c>
      <c r="C95" s="3" t="s">
        <v>381</v>
      </c>
      <c r="D95" s="3" t="s">
        <v>210</v>
      </c>
      <c r="E95" s="3" t="s">
        <v>96</v>
      </c>
      <c r="F95" s="3" t="s">
        <v>131</v>
      </c>
      <c r="G95" s="3" t="s">
        <v>137</v>
      </c>
      <c r="H95" s="19" t="s">
        <v>36</v>
      </c>
      <c r="I95" s="20" t="str">
        <f t="shared" si="2"/>
        <v>Chưa cài driver</v>
      </c>
      <c r="J95" s="3" t="s">
        <v>51</v>
      </c>
      <c r="K95" s="3" t="s">
        <v>483</v>
      </c>
      <c r="L95" s="19" t="s">
        <v>36</v>
      </c>
    </row>
    <row r="96" spans="1:12" ht="46.5" customHeight="1" x14ac:dyDescent="0.25">
      <c r="B96" s="10">
        <v>95</v>
      </c>
      <c r="C96" s="10" t="s">
        <v>384</v>
      </c>
      <c r="D96" s="10" t="s">
        <v>211</v>
      </c>
      <c r="E96" s="10" t="s">
        <v>96</v>
      </c>
      <c r="F96" s="10" t="s">
        <v>131</v>
      </c>
      <c r="G96" s="10" t="s">
        <v>137</v>
      </c>
      <c r="H96" s="21" t="s">
        <v>36</v>
      </c>
      <c r="I96" s="22" t="str">
        <f t="shared" si="2"/>
        <v>Thiếu driver chipset</v>
      </c>
      <c r="J96" s="10" t="s">
        <v>51</v>
      </c>
      <c r="K96" s="3" t="s">
        <v>483</v>
      </c>
      <c r="L96" s="21" t="s">
        <v>36</v>
      </c>
    </row>
    <row r="97" spans="2:12" ht="46.5" customHeight="1" x14ac:dyDescent="0.25">
      <c r="B97" s="10">
        <v>96</v>
      </c>
      <c r="C97" s="3" t="s">
        <v>380</v>
      </c>
      <c r="D97" s="3" t="s">
        <v>137</v>
      </c>
      <c r="E97" s="3" t="s">
        <v>199</v>
      </c>
      <c r="F97" s="3" t="s">
        <v>198</v>
      </c>
      <c r="G97" s="3" t="s">
        <v>195</v>
      </c>
      <c r="H97" s="19" t="s">
        <v>9</v>
      </c>
      <c r="I97" s="20" t="str">
        <f t="shared" si="2"/>
        <v>chưa tạo phân vùng</v>
      </c>
      <c r="J97" s="3" t="s">
        <v>51</v>
      </c>
      <c r="K97" s="3" t="s">
        <v>483</v>
      </c>
      <c r="L97" s="19" t="s">
        <v>9</v>
      </c>
    </row>
    <row r="98" spans="2:12" ht="46.5" customHeight="1" x14ac:dyDescent="0.25">
      <c r="B98" s="10">
        <v>97</v>
      </c>
      <c r="C98" s="10" t="s">
        <v>395</v>
      </c>
      <c r="D98" s="10" t="s">
        <v>397</v>
      </c>
      <c r="E98" s="10" t="s">
        <v>396</v>
      </c>
      <c r="F98" s="10" t="s">
        <v>398</v>
      </c>
      <c r="G98" s="10" t="s">
        <v>399</v>
      </c>
      <c r="H98" s="21" t="s">
        <v>36</v>
      </c>
      <c r="I98" s="22" t="str">
        <f t="shared" ref="I98:I129" si="3">IF(H98="A",D98,IF(H98="B",E98,IF(H98="C",F98,IF(H98="D",G98))))</f>
        <v>2666 MHz</v>
      </c>
      <c r="J98" s="10" t="s">
        <v>51</v>
      </c>
      <c r="K98" s="3" t="s">
        <v>483</v>
      </c>
      <c r="L98" s="21" t="s">
        <v>36</v>
      </c>
    </row>
    <row r="99" spans="2:12" ht="46.5" customHeight="1" x14ac:dyDescent="0.25">
      <c r="B99" s="10">
        <v>98</v>
      </c>
      <c r="C99" s="3" t="s">
        <v>366</v>
      </c>
      <c r="D99" s="3" t="s">
        <v>203</v>
      </c>
      <c r="E99" s="3" t="s">
        <v>202</v>
      </c>
      <c r="F99" s="3" t="s">
        <v>201</v>
      </c>
      <c r="G99" s="3" t="s">
        <v>204</v>
      </c>
      <c r="H99" s="19" t="s">
        <v>17</v>
      </c>
      <c r="I99" s="20" t="str">
        <f t="shared" si="3"/>
        <v>CPU yếu</v>
      </c>
      <c r="J99" s="3" t="s">
        <v>51</v>
      </c>
      <c r="K99" s="3" t="s">
        <v>483</v>
      </c>
      <c r="L99" s="19" t="s">
        <v>17</v>
      </c>
    </row>
    <row r="100" spans="2:12" ht="46.5" customHeight="1" x14ac:dyDescent="0.25">
      <c r="B100" s="10">
        <v>99</v>
      </c>
      <c r="C100" s="3" t="s">
        <v>379</v>
      </c>
      <c r="D100" s="3" t="s">
        <v>183</v>
      </c>
      <c r="E100" s="3" t="s">
        <v>184</v>
      </c>
      <c r="F100" s="3" t="s">
        <v>185</v>
      </c>
      <c r="G100" s="3" t="s">
        <v>178</v>
      </c>
      <c r="H100" s="19" t="s">
        <v>36</v>
      </c>
      <c r="I100" s="20" t="str">
        <f t="shared" si="3"/>
        <v>tản nhiệt kém</v>
      </c>
      <c r="J100" s="3" t="s">
        <v>51</v>
      </c>
      <c r="K100" s="3" t="s">
        <v>483</v>
      </c>
      <c r="L100" s="19" t="s">
        <v>36</v>
      </c>
    </row>
    <row r="101" spans="2:12" ht="46.5" customHeight="1" x14ac:dyDescent="0.25">
      <c r="B101" s="10">
        <v>100</v>
      </c>
      <c r="C101" s="3" t="s">
        <v>378</v>
      </c>
      <c r="D101" s="3" t="s">
        <v>311</v>
      </c>
      <c r="E101" s="3" t="s">
        <v>19</v>
      </c>
      <c r="F101" s="3" t="s">
        <v>312</v>
      </c>
      <c r="G101" s="3" t="s">
        <v>313</v>
      </c>
      <c r="H101" s="19" t="s">
        <v>36</v>
      </c>
      <c r="I101" s="20" t="str">
        <f t="shared" si="3"/>
        <v>Quạt CPU</v>
      </c>
      <c r="J101" s="3" t="s">
        <v>51</v>
      </c>
      <c r="K101" s="3" t="s">
        <v>483</v>
      </c>
      <c r="L101" s="19" t="s">
        <v>36</v>
      </c>
    </row>
    <row r="102" spans="2:12" ht="46.5" customHeight="1" x14ac:dyDescent="0.25">
      <c r="B102" s="10">
        <v>101</v>
      </c>
      <c r="C102" s="3" t="s">
        <v>377</v>
      </c>
      <c r="D102" s="3" t="s">
        <v>105</v>
      </c>
      <c r="E102" s="3" t="s">
        <v>96</v>
      </c>
      <c r="F102" s="3" t="s">
        <v>131</v>
      </c>
      <c r="G102" s="3" t="s">
        <v>127</v>
      </c>
      <c r="H102" s="19" t="s">
        <v>36</v>
      </c>
      <c r="I102" s="20" t="str">
        <f t="shared" si="3"/>
        <v>Thiếu keo tản nhiệt</v>
      </c>
      <c r="J102" s="3" t="s">
        <v>51</v>
      </c>
      <c r="K102" s="3" t="s">
        <v>483</v>
      </c>
      <c r="L102" s="19" t="s">
        <v>36</v>
      </c>
    </row>
    <row r="103" spans="2:12" ht="46.5" customHeight="1" x14ac:dyDescent="0.25">
      <c r="B103" s="10">
        <v>102</v>
      </c>
      <c r="C103" s="3" t="s">
        <v>267</v>
      </c>
      <c r="D103" s="3" t="s">
        <v>123</v>
      </c>
      <c r="E103" s="3" t="s">
        <v>268</v>
      </c>
      <c r="F103" s="3" t="s">
        <v>269</v>
      </c>
      <c r="G103" s="3" t="s">
        <v>270</v>
      </c>
      <c r="H103" s="19" t="s">
        <v>9</v>
      </c>
      <c r="I103" s="20" t="str">
        <f t="shared" si="3"/>
        <v>Sửa lỗi hệ thống hoặc driver</v>
      </c>
      <c r="J103" s="10" t="s">
        <v>51</v>
      </c>
      <c r="K103" s="3" t="s">
        <v>483</v>
      </c>
      <c r="L103" s="19" t="s">
        <v>9</v>
      </c>
    </row>
    <row r="104" spans="2:12" ht="46.5" customHeight="1" x14ac:dyDescent="0.25">
      <c r="B104" s="10">
        <v>103</v>
      </c>
      <c r="C104" s="3" t="s">
        <v>376</v>
      </c>
      <c r="D104" s="3" t="s">
        <v>205</v>
      </c>
      <c r="E104" s="3" t="s">
        <v>185</v>
      </c>
      <c r="F104" s="3" t="s">
        <v>155</v>
      </c>
      <c r="G104" s="3" t="s">
        <v>206</v>
      </c>
      <c r="H104" s="19" t="s">
        <v>17</v>
      </c>
      <c r="I104" s="20" t="str">
        <f t="shared" si="3"/>
        <v>PSU yếu</v>
      </c>
      <c r="J104" s="3" t="s">
        <v>51</v>
      </c>
      <c r="K104" s="3" t="s">
        <v>483</v>
      </c>
      <c r="L104" s="19" t="s">
        <v>17</v>
      </c>
    </row>
    <row r="105" spans="2:12" ht="46.5" customHeight="1" x14ac:dyDescent="0.25">
      <c r="B105" s="10">
        <v>104</v>
      </c>
      <c r="C105" s="4" t="s">
        <v>306</v>
      </c>
      <c r="D105" s="3" t="s">
        <v>260</v>
      </c>
      <c r="E105" s="3" t="s">
        <v>303</v>
      </c>
      <c r="F105" s="3" t="s">
        <v>304</v>
      </c>
      <c r="G105" s="3" t="s">
        <v>305</v>
      </c>
      <c r="H105" s="19" t="s">
        <v>9</v>
      </c>
      <c r="I105" s="20" t="str">
        <f t="shared" si="3"/>
        <v>Lỗi RAM</v>
      </c>
      <c r="J105" s="3" t="s">
        <v>51</v>
      </c>
      <c r="K105" s="3" t="s">
        <v>483</v>
      </c>
      <c r="L105" s="19" t="s">
        <v>9</v>
      </c>
    </row>
    <row r="106" spans="2:12" ht="46.5" customHeight="1" x14ac:dyDescent="0.25">
      <c r="B106" s="10">
        <v>105</v>
      </c>
      <c r="C106" s="3" t="s">
        <v>319</v>
      </c>
      <c r="D106" s="3" t="s">
        <v>316</v>
      </c>
      <c r="E106" s="3" t="s">
        <v>320</v>
      </c>
      <c r="F106" s="3" t="s">
        <v>321</v>
      </c>
      <c r="G106" s="3" t="s">
        <v>318</v>
      </c>
      <c r="H106" s="19" t="s">
        <v>9</v>
      </c>
      <c r="I106" s="20" t="str">
        <f t="shared" si="3"/>
        <v>Pin CMOS hết</v>
      </c>
      <c r="J106" s="3" t="s">
        <v>51</v>
      </c>
      <c r="K106" s="3" t="s">
        <v>483</v>
      </c>
      <c r="L106" s="19" t="s">
        <v>9</v>
      </c>
    </row>
    <row r="107" spans="2:12" ht="46.5" customHeight="1" x14ac:dyDescent="0.25">
      <c r="B107" s="10">
        <v>106</v>
      </c>
      <c r="C107" s="3" t="s">
        <v>374</v>
      </c>
      <c r="D107" s="3" t="s">
        <v>195</v>
      </c>
      <c r="E107" s="3" t="s">
        <v>208</v>
      </c>
      <c r="F107" s="3" t="s">
        <v>209</v>
      </c>
      <c r="G107" s="3" t="s">
        <v>137</v>
      </c>
      <c r="H107" s="19" t="s">
        <v>17</v>
      </c>
      <c r="I107" s="20" t="str">
        <f t="shared" si="3"/>
        <v>Không có ổ boot</v>
      </c>
      <c r="J107" s="3" t="s">
        <v>51</v>
      </c>
      <c r="K107" s="3" t="s">
        <v>483</v>
      </c>
      <c r="L107" s="19" t="s">
        <v>17</v>
      </c>
    </row>
    <row r="108" spans="2:12" ht="46.5" customHeight="1" x14ac:dyDescent="0.25">
      <c r="B108" s="10">
        <v>107</v>
      </c>
      <c r="C108" s="3" t="s">
        <v>373</v>
      </c>
      <c r="D108" s="3" t="s">
        <v>173</v>
      </c>
      <c r="E108" s="3" t="s">
        <v>127</v>
      </c>
      <c r="F108" s="3" t="s">
        <v>96</v>
      </c>
      <c r="G108" s="3" t="s">
        <v>174</v>
      </c>
      <c r="H108" s="19" t="s">
        <v>36</v>
      </c>
      <c r="I108" s="20" t="str">
        <f t="shared" si="3"/>
        <v>SSD chưa cài hệ điều hành</v>
      </c>
      <c r="J108" s="3" t="s">
        <v>51</v>
      </c>
      <c r="K108" s="3" t="s">
        <v>483</v>
      </c>
      <c r="L108" s="19" t="s">
        <v>36</v>
      </c>
    </row>
    <row r="109" spans="2:12" ht="46.5" customHeight="1" x14ac:dyDescent="0.25">
      <c r="B109" s="10">
        <v>108</v>
      </c>
      <c r="C109" s="3" t="s">
        <v>372</v>
      </c>
      <c r="D109" s="3" t="s">
        <v>106</v>
      </c>
      <c r="E109" s="3" t="s">
        <v>131</v>
      </c>
      <c r="F109" s="3" t="s">
        <v>127</v>
      </c>
      <c r="G109" s="3" t="s">
        <v>155</v>
      </c>
      <c r="H109" s="19" t="s">
        <v>36</v>
      </c>
      <c r="I109" s="20" t="str">
        <f t="shared" si="3"/>
        <v>Thiếu RAM</v>
      </c>
      <c r="J109" s="3" t="s">
        <v>51</v>
      </c>
      <c r="K109" s="3" t="s">
        <v>483</v>
      </c>
      <c r="L109" s="19" t="s">
        <v>36</v>
      </c>
    </row>
    <row r="110" spans="2:12" ht="46.5" customHeight="1" x14ac:dyDescent="0.25">
      <c r="B110" s="10">
        <v>109</v>
      </c>
      <c r="C110" s="3" t="s">
        <v>371</v>
      </c>
      <c r="D110" s="3" t="s">
        <v>194</v>
      </c>
      <c r="E110" s="3" t="s">
        <v>192</v>
      </c>
      <c r="F110" s="3" t="s">
        <v>193</v>
      </c>
      <c r="G110" s="3" t="s">
        <v>96</v>
      </c>
      <c r="H110" s="19" t="s">
        <v>36</v>
      </c>
      <c r="I110" s="20" t="str">
        <f t="shared" si="3"/>
        <v>Chưa cắm dây CPU fan</v>
      </c>
      <c r="J110" s="3" t="s">
        <v>51</v>
      </c>
      <c r="K110" s="3" t="s">
        <v>483</v>
      </c>
      <c r="L110" s="19" t="s">
        <v>36</v>
      </c>
    </row>
    <row r="111" spans="2:12" ht="46.5" customHeight="1" x14ac:dyDescent="0.25">
      <c r="B111" s="10">
        <v>110</v>
      </c>
      <c r="C111" s="3" t="s">
        <v>370</v>
      </c>
      <c r="D111" s="3" t="s">
        <v>195</v>
      </c>
      <c r="E111" s="3" t="s">
        <v>131</v>
      </c>
      <c r="F111" s="3" t="s">
        <v>96</v>
      </c>
      <c r="G111" s="3" t="s">
        <v>192</v>
      </c>
      <c r="H111" s="19" t="s">
        <v>36</v>
      </c>
      <c r="I111" s="20" t="str">
        <f t="shared" si="3"/>
        <v>BIOS chưa update</v>
      </c>
      <c r="J111" s="3" t="s">
        <v>51</v>
      </c>
      <c r="K111" s="3" t="s">
        <v>483</v>
      </c>
      <c r="L111" s="19" t="s">
        <v>36</v>
      </c>
    </row>
    <row r="112" spans="2:12" ht="46.5" customHeight="1" x14ac:dyDescent="0.25">
      <c r="B112" s="10">
        <v>111</v>
      </c>
      <c r="C112" s="3" t="s">
        <v>369</v>
      </c>
      <c r="D112" s="3" t="s">
        <v>90</v>
      </c>
      <c r="E112" s="3" t="s">
        <v>131</v>
      </c>
      <c r="F112" s="3" t="s">
        <v>156</v>
      </c>
      <c r="G112" s="3" t="s">
        <v>126</v>
      </c>
      <c r="H112" s="19" t="s">
        <v>36</v>
      </c>
      <c r="I112" s="20" t="str">
        <f t="shared" si="3"/>
        <v>RAM lỏng</v>
      </c>
      <c r="J112" s="3" t="s">
        <v>51</v>
      </c>
      <c r="K112" s="3" t="s">
        <v>483</v>
      </c>
      <c r="L112" s="19" t="s">
        <v>36</v>
      </c>
    </row>
    <row r="113" spans="2:12" ht="46.5" customHeight="1" x14ac:dyDescent="0.25">
      <c r="B113" s="10">
        <v>112</v>
      </c>
      <c r="C113" s="3" t="s">
        <v>314</v>
      </c>
      <c r="D113" s="3" t="s">
        <v>316</v>
      </c>
      <c r="E113" s="3" t="s">
        <v>205</v>
      </c>
      <c r="F113" s="3" t="s">
        <v>304</v>
      </c>
      <c r="G113" s="3" t="s">
        <v>315</v>
      </c>
      <c r="H113" s="19" t="s">
        <v>67</v>
      </c>
      <c r="I113" s="20" t="str">
        <f t="shared" si="3"/>
        <v>Nguồn yếu hoặc không ổn định</v>
      </c>
      <c r="J113" s="10" t="s">
        <v>51</v>
      </c>
      <c r="K113" s="3" t="s">
        <v>483</v>
      </c>
      <c r="L113" s="19" t="s">
        <v>67</v>
      </c>
    </row>
    <row r="114" spans="2:12" ht="46.5" customHeight="1" x14ac:dyDescent="0.25">
      <c r="B114" s="10">
        <v>113</v>
      </c>
      <c r="C114" s="3" t="s">
        <v>307</v>
      </c>
      <c r="D114" s="3" t="s">
        <v>308</v>
      </c>
      <c r="E114" s="3" t="s">
        <v>140</v>
      </c>
      <c r="F114" s="3" t="s">
        <v>309</v>
      </c>
      <c r="G114" s="3" t="s">
        <v>310</v>
      </c>
      <c r="H114" s="19" t="s">
        <v>36</v>
      </c>
      <c r="I114" s="20" t="str">
        <f t="shared" si="3"/>
        <v>Không có Loa mainboard</v>
      </c>
      <c r="J114" s="3" t="s">
        <v>51</v>
      </c>
      <c r="K114" s="3" t="s">
        <v>483</v>
      </c>
      <c r="L114" s="19" t="s">
        <v>36</v>
      </c>
    </row>
    <row r="115" spans="2:12" ht="46.5" customHeight="1" x14ac:dyDescent="0.25">
      <c r="B115" s="10">
        <v>114</v>
      </c>
      <c r="C115" s="3" t="s">
        <v>368</v>
      </c>
      <c r="D115" s="3" t="s">
        <v>139</v>
      </c>
      <c r="E115" s="3" t="s">
        <v>131</v>
      </c>
      <c r="F115" s="3" t="s">
        <v>177</v>
      </c>
      <c r="G115" s="3" t="s">
        <v>97</v>
      </c>
      <c r="H115" s="19" t="s">
        <v>36</v>
      </c>
      <c r="I115" s="20" t="str">
        <f t="shared" si="3"/>
        <v>CPU quá nhiệt</v>
      </c>
      <c r="J115" s="3" t="s">
        <v>51</v>
      </c>
      <c r="K115" s="3" t="s">
        <v>483</v>
      </c>
      <c r="L115" s="19" t="s">
        <v>36</v>
      </c>
    </row>
    <row r="116" spans="2:12" ht="46.5" customHeight="1" x14ac:dyDescent="0.25">
      <c r="B116" s="10">
        <v>115</v>
      </c>
      <c r="C116" s="3" t="s">
        <v>324</v>
      </c>
      <c r="D116" s="3" t="s">
        <v>260</v>
      </c>
      <c r="E116" s="3" t="s">
        <v>303</v>
      </c>
      <c r="F116" s="3" t="s">
        <v>304</v>
      </c>
      <c r="G116" s="3" t="s">
        <v>305</v>
      </c>
      <c r="H116" s="19" t="s">
        <v>17</v>
      </c>
      <c r="I116" s="20" t="str">
        <f t="shared" si="3"/>
        <v>Lỗi VGA</v>
      </c>
      <c r="J116" s="10" t="s">
        <v>51</v>
      </c>
      <c r="K116" s="3" t="s">
        <v>483</v>
      </c>
      <c r="L116" s="19" t="s">
        <v>17</v>
      </c>
    </row>
    <row r="117" spans="2:12" ht="46.5" customHeight="1" x14ac:dyDescent="0.25">
      <c r="B117" s="10">
        <v>116</v>
      </c>
      <c r="C117" s="3" t="s">
        <v>375</v>
      </c>
      <c r="D117" s="3" t="s">
        <v>200</v>
      </c>
      <c r="E117" s="3" t="s">
        <v>97</v>
      </c>
      <c r="F117" s="3" t="s">
        <v>96</v>
      </c>
      <c r="G117" s="3" t="s">
        <v>178</v>
      </c>
      <c r="H117" s="19" t="s">
        <v>36</v>
      </c>
      <c r="I117" s="20" t="str">
        <f t="shared" si="3"/>
        <v>Đang dùng HDD</v>
      </c>
      <c r="J117" s="3" t="s">
        <v>51</v>
      </c>
      <c r="K117" s="3" t="s">
        <v>483</v>
      </c>
      <c r="L117" s="19" t="s">
        <v>36</v>
      </c>
    </row>
    <row r="118" spans="2:12" ht="46.5" customHeight="1" x14ac:dyDescent="0.25">
      <c r="B118" s="10">
        <v>117</v>
      </c>
      <c r="C118" s="3" t="s">
        <v>175</v>
      </c>
      <c r="D118" s="3" t="s">
        <v>176</v>
      </c>
      <c r="E118" s="3" t="s">
        <v>177</v>
      </c>
      <c r="F118" s="3" t="s">
        <v>178</v>
      </c>
      <c r="G118" s="3" t="s">
        <v>179</v>
      </c>
      <c r="H118" s="19" t="s">
        <v>67</v>
      </c>
      <c r="I118" s="20" t="str">
        <f t="shared" si="3"/>
        <v>HDD thay vì SSD</v>
      </c>
      <c r="J118" s="3" t="s">
        <v>51</v>
      </c>
      <c r="K118" s="3" t="s">
        <v>483</v>
      </c>
      <c r="L118" s="19" t="s">
        <v>67</v>
      </c>
    </row>
    <row r="119" spans="2:12" ht="46.5" customHeight="1" x14ac:dyDescent="0.25">
      <c r="B119" s="10">
        <v>118</v>
      </c>
      <c r="C119" s="3" t="s">
        <v>190</v>
      </c>
      <c r="D119" s="3" t="s">
        <v>140</v>
      </c>
      <c r="E119" s="3" t="s">
        <v>126</v>
      </c>
      <c r="F119" s="3" t="s">
        <v>131</v>
      </c>
      <c r="G119" s="3" t="s">
        <v>127</v>
      </c>
      <c r="H119" s="19" t="s">
        <v>9</v>
      </c>
      <c r="I119" s="20" t="str">
        <f t="shared" si="3"/>
        <v>PSU chưa cấp điện</v>
      </c>
      <c r="J119" s="3" t="s">
        <v>51</v>
      </c>
      <c r="K119" s="3" t="s">
        <v>483</v>
      </c>
      <c r="L119" s="19" t="s">
        <v>9</v>
      </c>
    </row>
    <row r="120" spans="2:12" ht="46.5" customHeight="1" x14ac:dyDescent="0.25">
      <c r="B120" s="10">
        <v>119</v>
      </c>
      <c r="C120" s="3" t="s">
        <v>367</v>
      </c>
      <c r="D120" s="3" t="s">
        <v>96</v>
      </c>
      <c r="E120" s="3" t="s">
        <v>131</v>
      </c>
      <c r="F120" s="3" t="s">
        <v>156</v>
      </c>
      <c r="G120" s="3" t="s">
        <v>127</v>
      </c>
      <c r="H120" s="19" t="s">
        <v>36</v>
      </c>
      <c r="I120" s="20" t="str">
        <f t="shared" si="3"/>
        <v>RAM lỗi</v>
      </c>
      <c r="J120" s="3" t="s">
        <v>51</v>
      </c>
      <c r="K120" s="3" t="s">
        <v>483</v>
      </c>
      <c r="L120" s="19" t="s">
        <v>36</v>
      </c>
    </row>
    <row r="121" spans="2:12" ht="46.5" customHeight="1" x14ac:dyDescent="0.25">
      <c r="B121" s="10">
        <v>120</v>
      </c>
      <c r="C121" s="3" t="s">
        <v>197</v>
      </c>
      <c r="D121" s="3" t="s">
        <v>198</v>
      </c>
      <c r="E121" s="3" t="s">
        <v>137</v>
      </c>
      <c r="F121" s="3" t="s">
        <v>196</v>
      </c>
      <c r="G121" s="3" t="s">
        <v>191</v>
      </c>
      <c r="H121" s="19" t="s">
        <v>36</v>
      </c>
      <c r="I121" s="20" t="str">
        <f t="shared" si="3"/>
        <v>mainboard không hỗ trợ NVMe</v>
      </c>
      <c r="J121" s="3" t="s">
        <v>51</v>
      </c>
      <c r="K121" s="3" t="s">
        <v>483</v>
      </c>
      <c r="L121" s="19" t="s">
        <v>36</v>
      </c>
    </row>
    <row r="122" spans="2:12" ht="46.5" customHeight="1" x14ac:dyDescent="0.25">
      <c r="C122" s="16"/>
      <c r="D122" s="16"/>
      <c r="E122" s="16"/>
      <c r="F122" s="16"/>
      <c r="G122" s="16"/>
    </row>
  </sheetData>
  <sortState xmlns:xlrd2="http://schemas.microsoft.com/office/spreadsheetml/2017/richdata2" ref="B2:L121">
    <sortCondition ref="K2:K121" customList="Phần cứng,Lắp ráp,cài đặt,Sửa chữa"/>
    <sortCondition ref="J2:J121" customList="Dễ,Trung bình,Khó"/>
    <sortCondition descending="1" ref="C2:C121"/>
  </sortState>
  <phoneticPr fontId="8" type="noConversion"/>
  <conditionalFormatting sqref="D2:G106">
    <cfRule type="expression" dxfId="0" priority="1">
      <formula>D2=$I2</formula>
    </cfRule>
  </conditionalFormatting>
  <pageMargins left="0.75" right="0.75" top="1" bottom="1" header="0.5" footer="0.5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3B16-3D18-44EA-AD53-0A5625AF0AE1}">
  <dimension ref="A1:L601"/>
  <sheetViews>
    <sheetView topLeftCell="A583" workbookViewId="0">
      <selection activeCell="H601" sqref="H601"/>
    </sheetView>
  </sheetViews>
  <sheetFormatPr defaultRowHeight="15" x14ac:dyDescent="0.25"/>
  <cols>
    <col min="2" max="2" width="10.28515625" customWidth="1"/>
    <col min="3" max="3" width="11.140625" customWidth="1"/>
    <col min="7" max="7" width="79.140625" customWidth="1"/>
  </cols>
  <sheetData>
    <row r="1" spans="1:12" x14ac:dyDescent="0.25">
      <c r="A1" t="s">
        <v>477</v>
      </c>
      <c r="B1" t="s">
        <v>484</v>
      </c>
      <c r="C1" t="s">
        <v>347</v>
      </c>
      <c r="D1" t="s">
        <v>479</v>
      </c>
      <c r="H1" t="s">
        <v>486</v>
      </c>
      <c r="J1" t="s">
        <v>485</v>
      </c>
      <c r="L1">
        <v>6</v>
      </c>
    </row>
    <row r="2" spans="1:12" x14ac:dyDescent="0.25">
      <c r="A2">
        <v>0</v>
      </c>
      <c r="B2" t="str">
        <f>VLOOKUP(D2,Ngan_hang_cau_hoi!$B$2:$K$142,10,0)</f>
        <v>Chương 1</v>
      </c>
      <c r="C2" t="str">
        <f>VLOOKUP(D2,Ngan_hang_cau_hoi!$B$2:$K$142,9,0)</f>
        <v>Dễ</v>
      </c>
      <c r="D2">
        <f>INT(A2/5)+1</f>
        <v>1</v>
      </c>
      <c r="F2">
        <f>IF(L2=2,COUNTIF($L$1:L2,2),"")</f>
        <v>1</v>
      </c>
      <c r="G2" t="str">
        <f>VLOOKUP(D2,Ngan_hang_cau_hoi!$B$2:$K$142,L2,0)</f>
        <v>Tốc độ đọc/ghi dữ liệu giữu ổ cứng SSD và HDD</v>
      </c>
      <c r="H2" t="str">
        <f>IFERROR(VLOOKUP(J2,Ngan_hang_cau_hoi!$I$2:$L$142,4,0),"")</f>
        <v/>
      </c>
      <c r="J2" t="str">
        <f>IF(VLOOKUP(D2,Ngan_hang_cau_hoi!$B$2:$K$142,8,0)=G2,G2,"")</f>
        <v/>
      </c>
      <c r="L2">
        <f>IF(L1=6,2,L1+1)</f>
        <v>2</v>
      </c>
    </row>
    <row r="3" spans="1:12" x14ac:dyDescent="0.25">
      <c r="A3">
        <v>1</v>
      </c>
      <c r="B3" t="str">
        <f>VLOOKUP(D3,Ngan_hang_cau_hoi!$B$2:$K$142,10,0)</f>
        <v>Chương 1</v>
      </c>
      <c r="C3" t="str">
        <f>VLOOKUP(D3,Ngan_hang_cau_hoi!$B$2:$K$142,9,0)</f>
        <v>Dễ</v>
      </c>
      <c r="D3">
        <f t="shared" ref="D3:D66" si="0">INT(A3/5)+1</f>
        <v>1</v>
      </c>
      <c r="F3" t="str">
        <f>IF(L3=2,COUNTIF($L$1:L3,2),"")</f>
        <v/>
      </c>
      <c r="G3" t="str">
        <f>VLOOKUP(D3,Ngan_hang_cau_hoi!$B$2:$K$142,L3,0)</f>
        <v>Tốc độ đọc/ghi dữ liệu của ổ cứng bằng nhau.</v>
      </c>
      <c r="H3" t="str">
        <f>IFERROR(VLOOKUP(J3,Ngan_hang_cau_hoi!$I$2:$L$142,4,0),"")</f>
        <v/>
      </c>
      <c r="J3" t="str">
        <f>IF(VLOOKUP(D3,Ngan_hang_cau_hoi!$B$2:$K$142,8,0)=G3,G3,"")</f>
        <v/>
      </c>
      <c r="L3">
        <f t="shared" ref="L3:L66" si="1">IF(L2=6,2,L2+1)</f>
        <v>3</v>
      </c>
    </row>
    <row r="4" spans="1:12" x14ac:dyDescent="0.25">
      <c r="A4">
        <v>2</v>
      </c>
      <c r="B4" t="str">
        <f>VLOOKUP(D4,Ngan_hang_cau_hoi!$B$2:$K$142,10,0)</f>
        <v>Chương 1</v>
      </c>
      <c r="C4" t="str">
        <f>VLOOKUP(D4,Ngan_hang_cau_hoi!$B$2:$K$142,9,0)</f>
        <v>Dễ</v>
      </c>
      <c r="D4">
        <f t="shared" si="0"/>
        <v>1</v>
      </c>
      <c r="F4" t="str">
        <f>IF(L4=2,COUNTIF($L$1:L4,2),"")</f>
        <v/>
      </c>
      <c r="G4" t="str">
        <f>VLOOKUP(D4,Ngan_hang_cau_hoi!$B$2:$K$142,L4,0)</f>
        <v>Tốc độ đọc/ghi dữ liệu của ổ cứng HDD nhanh hơn.</v>
      </c>
      <c r="H4" t="str">
        <f>IFERROR(VLOOKUP(J4,Ngan_hang_cau_hoi!$I$2:$L$142,4,0),"")</f>
        <v/>
      </c>
      <c r="J4" t="str">
        <f>IF(VLOOKUP(D4,Ngan_hang_cau_hoi!$B$2:$K$142,8,0)=G4,G4,"")</f>
        <v/>
      </c>
      <c r="L4">
        <f t="shared" si="1"/>
        <v>4</v>
      </c>
    </row>
    <row r="5" spans="1:12" x14ac:dyDescent="0.25">
      <c r="A5">
        <v>3</v>
      </c>
      <c r="B5" t="str">
        <f>VLOOKUP(D5,Ngan_hang_cau_hoi!$B$2:$K$142,10,0)</f>
        <v>Chương 1</v>
      </c>
      <c r="C5" t="str">
        <f>VLOOKUP(D5,Ngan_hang_cau_hoi!$B$2:$K$142,9,0)</f>
        <v>Dễ</v>
      </c>
      <c r="D5">
        <f t="shared" si="0"/>
        <v>1</v>
      </c>
      <c r="F5" t="str">
        <f>IF(L5=2,COUNTIF($L$1:L5,2),"")</f>
        <v/>
      </c>
      <c r="G5" t="str">
        <f>VLOOKUP(D5,Ngan_hang_cau_hoi!$B$2:$K$142,L5,0)</f>
        <v>Tốc độ đọc/ghi dữ liệu của ổ cứng SSD nhanh hơn.</v>
      </c>
      <c r="H5" t="str">
        <f>IFERROR(VLOOKUP(J5,Ngan_hang_cau_hoi!$I$2:$L$142,4,0),"")</f>
        <v>C</v>
      </c>
      <c r="J5" t="str">
        <f>IF(VLOOKUP(D5,Ngan_hang_cau_hoi!$B$2:$K$142,8,0)=G5,G5,"")</f>
        <v>Tốc độ đọc/ghi dữ liệu của ổ cứng SSD nhanh hơn.</v>
      </c>
      <c r="L5">
        <f t="shared" si="1"/>
        <v>5</v>
      </c>
    </row>
    <row r="6" spans="1:12" x14ac:dyDescent="0.25">
      <c r="A6">
        <v>4</v>
      </c>
      <c r="B6" t="str">
        <f>VLOOKUP(D6,Ngan_hang_cau_hoi!$B$2:$K$142,10,0)</f>
        <v>Chương 1</v>
      </c>
      <c r="C6" t="str">
        <f>VLOOKUP(D6,Ngan_hang_cau_hoi!$B$2:$K$142,9,0)</f>
        <v>Dễ</v>
      </c>
      <c r="D6">
        <f t="shared" si="0"/>
        <v>1</v>
      </c>
      <c r="F6" t="str">
        <f>IF(L6=2,COUNTIF($L$1:L6,2),"")</f>
        <v/>
      </c>
      <c r="G6" t="str">
        <f>VLOOKUP(D6,Ngan_hang_cau_hoi!$B$2:$K$142,L6,0)</f>
        <v>Tốc độ đọc/ghi dữ liệu của ổ cứng SSD chậm hơn.</v>
      </c>
      <c r="H6" t="str">
        <f>IFERROR(VLOOKUP(J6,Ngan_hang_cau_hoi!$I$2:$L$142,4,0),"")</f>
        <v/>
      </c>
      <c r="J6" t="str">
        <f>IF(VLOOKUP(D6,Ngan_hang_cau_hoi!$B$2:$K$142,8,0)=G6,G6,"")</f>
        <v/>
      </c>
      <c r="L6">
        <f t="shared" si="1"/>
        <v>6</v>
      </c>
    </row>
    <row r="7" spans="1:12" x14ac:dyDescent="0.25">
      <c r="A7">
        <v>5</v>
      </c>
      <c r="B7" t="str">
        <f>VLOOKUP(D7,Ngan_hang_cau_hoi!$B$2:$K$142,10,0)</f>
        <v>Chương 1</v>
      </c>
      <c r="C7" t="str">
        <f>VLOOKUP(D7,Ngan_hang_cau_hoi!$B$2:$K$142,9,0)</f>
        <v>Dễ</v>
      </c>
      <c r="D7">
        <f t="shared" si="0"/>
        <v>2</v>
      </c>
      <c r="F7">
        <f>IF(L7=2,COUNTIF($L$1:L7,2),"")</f>
        <v>2</v>
      </c>
      <c r="G7" t="str">
        <f>VLOOKUP(D7,Ngan_hang_cau_hoi!$B$2:$K$142,L7,0)</f>
        <v>Thiết bị nào giúp làm mát CPU?</v>
      </c>
      <c r="H7" t="str">
        <f>IFERROR(VLOOKUP(J7,Ngan_hang_cau_hoi!$I$2:$L$142,4,0),"")</f>
        <v/>
      </c>
      <c r="J7" t="str">
        <f>IF(VLOOKUP(D7,Ngan_hang_cau_hoi!$B$2:$K$142,8,0)=G7,G7,"")</f>
        <v/>
      </c>
      <c r="L7">
        <f t="shared" si="1"/>
        <v>2</v>
      </c>
    </row>
    <row r="8" spans="1:12" x14ac:dyDescent="0.25">
      <c r="A8">
        <v>6</v>
      </c>
      <c r="B8" t="str">
        <f>VLOOKUP(D8,Ngan_hang_cau_hoi!$B$2:$K$142,10,0)</f>
        <v>Chương 1</v>
      </c>
      <c r="C8" t="str">
        <f>VLOOKUP(D8,Ngan_hang_cau_hoi!$B$2:$K$142,9,0)</f>
        <v>Dễ</v>
      </c>
      <c r="D8">
        <f t="shared" si="0"/>
        <v>2</v>
      </c>
      <c r="F8" t="str">
        <f>IF(L8=2,COUNTIF($L$1:L8,2),"")</f>
        <v/>
      </c>
      <c r="G8" t="str">
        <f>VLOOKUP(D8,Ngan_hang_cau_hoi!$B$2:$K$142,L8,0)</f>
        <v>Case</v>
      </c>
      <c r="H8" t="str">
        <f>IFERROR(VLOOKUP(J8,Ngan_hang_cau_hoi!$I$2:$L$142,4,0),"")</f>
        <v/>
      </c>
      <c r="J8" t="str">
        <f>IF(VLOOKUP(D8,Ngan_hang_cau_hoi!$B$2:$K$142,8,0)=G8,G8,"")</f>
        <v/>
      </c>
      <c r="L8">
        <f t="shared" si="1"/>
        <v>3</v>
      </c>
    </row>
    <row r="9" spans="1:12" x14ac:dyDescent="0.25">
      <c r="A9">
        <v>7</v>
      </c>
      <c r="B9" t="str">
        <f>VLOOKUP(D9,Ngan_hang_cau_hoi!$B$2:$K$142,10,0)</f>
        <v>Chương 1</v>
      </c>
      <c r="C9" t="str">
        <f>VLOOKUP(D9,Ngan_hang_cau_hoi!$B$2:$K$142,9,0)</f>
        <v>Dễ</v>
      </c>
      <c r="D9">
        <f t="shared" si="0"/>
        <v>2</v>
      </c>
      <c r="F9" t="str">
        <f>IF(L9=2,COUNTIF($L$1:L9,2),"")</f>
        <v/>
      </c>
      <c r="G9" t="str">
        <f>VLOOKUP(D9,Ngan_hang_cau_hoi!$B$2:$K$142,L9,0)</f>
        <v>Heatsink/Fan</v>
      </c>
      <c r="H9" t="str">
        <f>IFERROR(VLOOKUP(J9,Ngan_hang_cau_hoi!$I$2:$L$142,4,0),"")</f>
        <v>B</v>
      </c>
      <c r="J9" t="str">
        <f>IF(VLOOKUP(D9,Ngan_hang_cau_hoi!$B$2:$K$142,8,0)=G9,G9,"")</f>
        <v>Heatsink/Fan</v>
      </c>
      <c r="L9">
        <f t="shared" si="1"/>
        <v>4</v>
      </c>
    </row>
    <row r="10" spans="1:12" x14ac:dyDescent="0.25">
      <c r="A10">
        <v>8</v>
      </c>
      <c r="B10" t="str">
        <f>VLOOKUP(D10,Ngan_hang_cau_hoi!$B$2:$K$142,10,0)</f>
        <v>Chương 1</v>
      </c>
      <c r="C10" t="str">
        <f>VLOOKUP(D10,Ngan_hang_cau_hoi!$B$2:$K$142,9,0)</f>
        <v>Dễ</v>
      </c>
      <c r="D10">
        <f t="shared" si="0"/>
        <v>2</v>
      </c>
      <c r="F10" t="str">
        <f>IF(L10=2,COUNTIF($L$1:L10,2),"")</f>
        <v/>
      </c>
      <c r="G10" t="str">
        <f>VLOOKUP(D10,Ngan_hang_cau_hoi!$B$2:$K$142,L10,0)</f>
        <v>RAM</v>
      </c>
      <c r="H10" t="str">
        <f>IFERROR(VLOOKUP(J10,Ngan_hang_cau_hoi!$I$2:$L$142,4,0),"")</f>
        <v/>
      </c>
      <c r="J10" t="str">
        <f>IF(VLOOKUP(D10,Ngan_hang_cau_hoi!$B$2:$K$142,8,0)=G10,G10,"")</f>
        <v/>
      </c>
      <c r="L10">
        <f t="shared" si="1"/>
        <v>5</v>
      </c>
    </row>
    <row r="11" spans="1:12" x14ac:dyDescent="0.25">
      <c r="A11">
        <v>9</v>
      </c>
      <c r="B11" t="str">
        <f>VLOOKUP(D11,Ngan_hang_cau_hoi!$B$2:$K$142,10,0)</f>
        <v>Chương 1</v>
      </c>
      <c r="C11" t="str">
        <f>VLOOKUP(D11,Ngan_hang_cau_hoi!$B$2:$K$142,9,0)</f>
        <v>Dễ</v>
      </c>
      <c r="D11">
        <f t="shared" si="0"/>
        <v>2</v>
      </c>
      <c r="F11" t="str">
        <f>IF(L11=2,COUNTIF($L$1:L11,2),"")</f>
        <v/>
      </c>
      <c r="G11" t="str">
        <f>VLOOKUP(D11,Ngan_hang_cau_hoi!$B$2:$K$142,L11,0)</f>
        <v>SSD</v>
      </c>
      <c r="H11" t="str">
        <f>IFERROR(VLOOKUP(J11,Ngan_hang_cau_hoi!$I$2:$L$142,4,0),"")</f>
        <v/>
      </c>
      <c r="J11" t="str">
        <f>IF(VLOOKUP(D11,Ngan_hang_cau_hoi!$B$2:$K$142,8,0)=G11,G11,"")</f>
        <v/>
      </c>
      <c r="L11">
        <f t="shared" si="1"/>
        <v>6</v>
      </c>
    </row>
    <row r="12" spans="1:12" x14ac:dyDescent="0.25">
      <c r="A12">
        <v>10</v>
      </c>
      <c r="B12" t="str">
        <f>VLOOKUP(D12,Ngan_hang_cau_hoi!$B$2:$K$142,10,0)</f>
        <v>Chương 1</v>
      </c>
      <c r="C12" t="str">
        <f>VLOOKUP(D12,Ngan_hang_cau_hoi!$B$2:$K$142,9,0)</f>
        <v>Dễ</v>
      </c>
      <c r="D12">
        <f t="shared" si="0"/>
        <v>3</v>
      </c>
      <c r="F12">
        <f>IF(L12=2,COUNTIF($L$1:L12,2),"")</f>
        <v>3</v>
      </c>
      <c r="G12" t="str">
        <f>VLOOKUP(D12,Ngan_hang_cau_hoi!$B$2:$K$142,L12,0)</f>
        <v>RAM DDR4 thường có bao nhiêu chân?</v>
      </c>
      <c r="H12" t="str">
        <f>IFERROR(VLOOKUP(J12,Ngan_hang_cau_hoi!$I$2:$L$142,4,0),"")</f>
        <v/>
      </c>
      <c r="J12" t="str">
        <f>IF(VLOOKUP(D12,Ngan_hang_cau_hoi!$B$2:$K$142,8,0)=G12,G12,"")</f>
        <v/>
      </c>
      <c r="L12">
        <f>IF(L11=6,2,L11+1)</f>
        <v>2</v>
      </c>
    </row>
    <row r="13" spans="1:12" x14ac:dyDescent="0.25">
      <c r="A13">
        <v>11</v>
      </c>
      <c r="B13" t="str">
        <f>VLOOKUP(D13,Ngan_hang_cau_hoi!$B$2:$K$142,10,0)</f>
        <v>Chương 1</v>
      </c>
      <c r="C13" t="str">
        <f>VLOOKUP(D13,Ngan_hang_cau_hoi!$B$2:$K$142,9,0)</f>
        <v>Dễ</v>
      </c>
      <c r="D13">
        <f t="shared" si="0"/>
        <v>3</v>
      </c>
      <c r="F13" t="str">
        <f>IF(L13=2,COUNTIF($L$1:L13,2),"")</f>
        <v/>
      </c>
      <c r="G13" t="str">
        <f>VLOOKUP(D13,Ngan_hang_cau_hoi!$B$2:$K$142,L13,0)</f>
        <v>240</v>
      </c>
      <c r="H13" t="str">
        <f>IFERROR(VLOOKUP(J13,Ngan_hang_cau_hoi!$I$2:$L$142,4,0),"")</f>
        <v/>
      </c>
      <c r="J13" t="str">
        <f>IF(VLOOKUP(D13,Ngan_hang_cau_hoi!$B$2:$K$142,8,0)=G13,G13,"")</f>
        <v/>
      </c>
      <c r="L13">
        <f t="shared" si="1"/>
        <v>3</v>
      </c>
    </row>
    <row r="14" spans="1:12" x14ac:dyDescent="0.25">
      <c r="A14">
        <v>12</v>
      </c>
      <c r="B14" t="str">
        <f>VLOOKUP(D14,Ngan_hang_cau_hoi!$B$2:$K$142,10,0)</f>
        <v>Chương 1</v>
      </c>
      <c r="C14" t="str">
        <f>VLOOKUP(D14,Ngan_hang_cau_hoi!$B$2:$K$142,9,0)</f>
        <v>Dễ</v>
      </c>
      <c r="D14">
        <f t="shared" si="0"/>
        <v>3</v>
      </c>
      <c r="F14" t="str">
        <f>IF(L14=2,COUNTIF($L$1:L14,2),"")</f>
        <v/>
      </c>
      <c r="G14" t="str">
        <f>VLOOKUP(D14,Ngan_hang_cau_hoi!$B$2:$K$142,L14,0)</f>
        <v>288</v>
      </c>
      <c r="H14" t="str">
        <f>IFERROR(VLOOKUP(J14,Ngan_hang_cau_hoi!$I$2:$L$142,4,0),"")</f>
        <v>B</v>
      </c>
      <c r="J14" t="str">
        <f>IF(VLOOKUP(D14,Ngan_hang_cau_hoi!$B$2:$K$142,8,0)=G14,G14,"")</f>
        <v>288</v>
      </c>
      <c r="L14">
        <f t="shared" si="1"/>
        <v>4</v>
      </c>
    </row>
    <row r="15" spans="1:12" x14ac:dyDescent="0.25">
      <c r="A15">
        <v>13</v>
      </c>
      <c r="B15" t="str">
        <f>VLOOKUP(D15,Ngan_hang_cau_hoi!$B$2:$K$142,10,0)</f>
        <v>Chương 1</v>
      </c>
      <c r="C15" t="str">
        <f>VLOOKUP(D15,Ngan_hang_cau_hoi!$B$2:$K$142,9,0)</f>
        <v>Dễ</v>
      </c>
      <c r="D15">
        <f t="shared" si="0"/>
        <v>3</v>
      </c>
      <c r="F15" t="str">
        <f>IF(L15=2,COUNTIF($L$1:L15,2),"")</f>
        <v/>
      </c>
      <c r="G15" t="str">
        <f>VLOOKUP(D15,Ngan_hang_cau_hoi!$B$2:$K$142,L15,0)</f>
        <v>184</v>
      </c>
      <c r="H15" t="str">
        <f>IFERROR(VLOOKUP(J15,Ngan_hang_cau_hoi!$I$2:$L$142,4,0),"")</f>
        <v/>
      </c>
      <c r="J15" t="str">
        <f>IF(VLOOKUP(D15,Ngan_hang_cau_hoi!$B$2:$K$142,8,0)=G15,G15,"")</f>
        <v/>
      </c>
      <c r="L15">
        <f t="shared" si="1"/>
        <v>5</v>
      </c>
    </row>
    <row r="16" spans="1:12" x14ac:dyDescent="0.25">
      <c r="A16">
        <v>14</v>
      </c>
      <c r="B16" t="str">
        <f>VLOOKUP(D16,Ngan_hang_cau_hoi!$B$2:$K$142,10,0)</f>
        <v>Chương 1</v>
      </c>
      <c r="C16" t="str">
        <f>VLOOKUP(D16,Ngan_hang_cau_hoi!$B$2:$K$142,9,0)</f>
        <v>Dễ</v>
      </c>
      <c r="D16">
        <f t="shared" si="0"/>
        <v>3</v>
      </c>
      <c r="F16" t="str">
        <f>IF(L16=2,COUNTIF($L$1:L16,2),"")</f>
        <v/>
      </c>
      <c r="G16" t="str">
        <f>VLOOKUP(D16,Ngan_hang_cau_hoi!$B$2:$K$142,L16,0)</f>
        <v>200</v>
      </c>
      <c r="H16" t="str">
        <f>IFERROR(VLOOKUP(J16,Ngan_hang_cau_hoi!$I$2:$L$142,4,0),"")</f>
        <v/>
      </c>
      <c r="J16" t="str">
        <f>IF(VLOOKUP(D16,Ngan_hang_cau_hoi!$B$2:$K$142,8,0)=G16,G16,"")</f>
        <v/>
      </c>
      <c r="L16">
        <f t="shared" si="1"/>
        <v>6</v>
      </c>
    </row>
    <row r="17" spans="1:12" x14ac:dyDescent="0.25">
      <c r="A17">
        <v>15</v>
      </c>
      <c r="B17" t="str">
        <f>VLOOKUP(D17,Ngan_hang_cau_hoi!$B$2:$K$142,10,0)</f>
        <v>Chương 1</v>
      </c>
      <c r="C17" t="str">
        <f>VLOOKUP(D17,Ngan_hang_cau_hoi!$B$2:$K$142,9,0)</f>
        <v>Dễ</v>
      </c>
      <c r="D17">
        <f t="shared" si="0"/>
        <v>4</v>
      </c>
      <c r="F17">
        <f>IF(L17=2,COUNTIF($L$1:L17,2),"")</f>
        <v>4</v>
      </c>
      <c r="G17" t="str">
        <f>VLOOKUP(D17,Ngan_hang_cau_hoi!$B$2:$K$142,L17,0)</f>
        <v>RAM có chức năng chính là gì?</v>
      </c>
      <c r="H17" t="str">
        <f>IFERROR(VLOOKUP(J17,Ngan_hang_cau_hoi!$I$2:$L$142,4,0),"")</f>
        <v/>
      </c>
      <c r="J17" t="str">
        <f>IF(VLOOKUP(D17,Ngan_hang_cau_hoi!$B$2:$K$142,8,0)=G17,G17,"")</f>
        <v/>
      </c>
      <c r="L17">
        <f t="shared" si="1"/>
        <v>2</v>
      </c>
    </row>
    <row r="18" spans="1:12" x14ac:dyDescent="0.25">
      <c r="A18">
        <v>16</v>
      </c>
      <c r="B18" t="str">
        <f>VLOOKUP(D18,Ngan_hang_cau_hoi!$B$2:$K$142,10,0)</f>
        <v>Chương 1</v>
      </c>
      <c r="C18" t="str">
        <f>VLOOKUP(D18,Ngan_hang_cau_hoi!$B$2:$K$142,9,0)</f>
        <v>Dễ</v>
      </c>
      <c r="D18">
        <f t="shared" si="0"/>
        <v>4</v>
      </c>
      <c r="F18" t="str">
        <f>IF(L18=2,COUNTIF($L$1:L18,2),"")</f>
        <v/>
      </c>
      <c r="G18" t="str">
        <f>VLOOKUP(D18,Ngan_hang_cau_hoi!$B$2:$K$142,L18,0)</f>
        <v>Lưu trữ tạm thời</v>
      </c>
      <c r="H18" t="str">
        <f>IFERROR(VLOOKUP(J18,Ngan_hang_cau_hoi!$I$2:$L$142,4,0),"")</f>
        <v>A</v>
      </c>
      <c r="J18" t="str">
        <f>IF(VLOOKUP(D18,Ngan_hang_cau_hoi!$B$2:$K$142,8,0)=G18,G18,"")</f>
        <v>Lưu trữ tạm thời</v>
      </c>
      <c r="L18">
        <f t="shared" si="1"/>
        <v>3</v>
      </c>
    </row>
    <row r="19" spans="1:12" x14ac:dyDescent="0.25">
      <c r="A19">
        <v>17</v>
      </c>
      <c r="B19" t="str">
        <f>VLOOKUP(D19,Ngan_hang_cau_hoi!$B$2:$K$142,10,0)</f>
        <v>Chương 1</v>
      </c>
      <c r="C19" t="str">
        <f>VLOOKUP(D19,Ngan_hang_cau_hoi!$B$2:$K$142,9,0)</f>
        <v>Dễ</v>
      </c>
      <c r="D19">
        <f t="shared" si="0"/>
        <v>4</v>
      </c>
      <c r="F19" t="str">
        <f>IF(L19=2,COUNTIF($L$1:L19,2),"")</f>
        <v/>
      </c>
      <c r="G19" t="str">
        <f>VLOOKUP(D19,Ngan_hang_cau_hoi!$B$2:$K$142,L19,0)</f>
        <v>Lưu trữ lâu dài</v>
      </c>
      <c r="H19" t="str">
        <f>IFERROR(VLOOKUP(J19,Ngan_hang_cau_hoi!$I$2:$L$142,4,0),"")</f>
        <v/>
      </c>
      <c r="J19" t="str">
        <f>IF(VLOOKUP(D19,Ngan_hang_cau_hoi!$B$2:$K$142,8,0)=G19,G19,"")</f>
        <v/>
      </c>
      <c r="L19">
        <f t="shared" si="1"/>
        <v>4</v>
      </c>
    </row>
    <row r="20" spans="1:12" x14ac:dyDescent="0.25">
      <c r="A20">
        <v>18</v>
      </c>
      <c r="B20" t="str">
        <f>VLOOKUP(D20,Ngan_hang_cau_hoi!$B$2:$K$142,10,0)</f>
        <v>Chương 1</v>
      </c>
      <c r="C20" t="str">
        <f>VLOOKUP(D20,Ngan_hang_cau_hoi!$B$2:$K$142,9,0)</f>
        <v>Dễ</v>
      </c>
      <c r="D20">
        <f t="shared" si="0"/>
        <v>4</v>
      </c>
      <c r="F20" t="str">
        <f>IF(L20=2,COUNTIF($L$1:L20,2),"")</f>
        <v/>
      </c>
      <c r="G20" t="str">
        <f>VLOOKUP(D20,Ngan_hang_cau_hoi!$B$2:$K$142,L20,0)</f>
        <v>Xuất hình ảnh</v>
      </c>
      <c r="H20" t="str">
        <f>IFERROR(VLOOKUP(J20,Ngan_hang_cau_hoi!$I$2:$L$142,4,0),"")</f>
        <v/>
      </c>
      <c r="J20" t="str">
        <f>IF(VLOOKUP(D20,Ngan_hang_cau_hoi!$B$2:$K$142,8,0)=G20,G20,"")</f>
        <v/>
      </c>
      <c r="L20">
        <f t="shared" si="1"/>
        <v>5</v>
      </c>
    </row>
    <row r="21" spans="1:12" x14ac:dyDescent="0.25">
      <c r="A21">
        <v>19</v>
      </c>
      <c r="B21" t="str">
        <f>VLOOKUP(D21,Ngan_hang_cau_hoi!$B$2:$K$142,10,0)</f>
        <v>Chương 1</v>
      </c>
      <c r="C21" t="str">
        <f>VLOOKUP(D21,Ngan_hang_cau_hoi!$B$2:$K$142,9,0)</f>
        <v>Dễ</v>
      </c>
      <c r="D21">
        <f t="shared" si="0"/>
        <v>4</v>
      </c>
      <c r="F21" t="str">
        <f>IF(L21=2,COUNTIF($L$1:L21,2),"")</f>
        <v/>
      </c>
      <c r="G21" t="str">
        <f>VLOOKUP(D21,Ngan_hang_cau_hoi!$B$2:$K$142,L21,0)</f>
        <v>Cấp điện</v>
      </c>
      <c r="H21" t="str">
        <f>IFERROR(VLOOKUP(J21,Ngan_hang_cau_hoi!$I$2:$L$142,4,0),"")</f>
        <v/>
      </c>
      <c r="J21" t="str">
        <f>IF(VLOOKUP(D21,Ngan_hang_cau_hoi!$B$2:$K$142,8,0)=G21,G21,"")</f>
        <v/>
      </c>
      <c r="L21">
        <f t="shared" si="1"/>
        <v>6</v>
      </c>
    </row>
    <row r="22" spans="1:12" x14ac:dyDescent="0.25">
      <c r="A22">
        <v>20</v>
      </c>
      <c r="B22" t="str">
        <f>VLOOKUP(D22,Ngan_hang_cau_hoi!$B$2:$K$142,10,0)</f>
        <v>Chương 1</v>
      </c>
      <c r="C22" t="str">
        <f>VLOOKUP(D22,Ngan_hang_cau_hoi!$B$2:$K$142,9,0)</f>
        <v>Dễ</v>
      </c>
      <c r="D22">
        <f t="shared" si="0"/>
        <v>5</v>
      </c>
      <c r="F22">
        <f>IF(L22=2,COUNTIF($L$1:L22,2),"")</f>
        <v>5</v>
      </c>
      <c r="G22" t="str">
        <f>VLOOKUP(D22,Ngan_hang_cau_hoi!$B$2:$K$142,L22,0)</f>
        <v>Ổ SSD SATA thường có kích thước phổ biến nào?</v>
      </c>
      <c r="H22" t="str">
        <f>IFERROR(VLOOKUP(J22,Ngan_hang_cau_hoi!$I$2:$L$142,4,0),"")</f>
        <v/>
      </c>
      <c r="J22" t="str">
        <f>IF(VLOOKUP(D22,Ngan_hang_cau_hoi!$B$2:$K$142,8,0)=G22,G22,"")</f>
        <v/>
      </c>
      <c r="L22">
        <f t="shared" si="1"/>
        <v>2</v>
      </c>
    </row>
    <row r="23" spans="1:12" x14ac:dyDescent="0.25">
      <c r="A23">
        <v>21</v>
      </c>
      <c r="B23" t="str">
        <f>VLOOKUP(D23,Ngan_hang_cau_hoi!$B$2:$K$142,10,0)</f>
        <v>Chương 1</v>
      </c>
      <c r="C23" t="str">
        <f>VLOOKUP(D23,Ngan_hang_cau_hoi!$B$2:$K$142,9,0)</f>
        <v>Dễ</v>
      </c>
      <c r="D23">
        <f t="shared" si="0"/>
        <v>5</v>
      </c>
      <c r="F23" t="str">
        <f>IF(L23=2,COUNTIF($L$1:L23,2),"")</f>
        <v/>
      </c>
      <c r="G23" t="str">
        <f>VLOOKUP(D23,Ngan_hang_cau_hoi!$B$2:$K$142,L23,0)</f>
        <v>3.5 inch</v>
      </c>
      <c r="H23" t="str">
        <f>IFERROR(VLOOKUP(J23,Ngan_hang_cau_hoi!$I$2:$L$142,4,0),"")</f>
        <v/>
      </c>
      <c r="J23" t="str">
        <f>IF(VLOOKUP(D23,Ngan_hang_cau_hoi!$B$2:$K$142,8,0)=G23,G23,"")</f>
        <v/>
      </c>
      <c r="L23">
        <f t="shared" si="1"/>
        <v>3</v>
      </c>
    </row>
    <row r="24" spans="1:12" x14ac:dyDescent="0.25">
      <c r="A24">
        <v>22</v>
      </c>
      <c r="B24" t="str">
        <f>VLOOKUP(D24,Ngan_hang_cau_hoi!$B$2:$K$142,10,0)</f>
        <v>Chương 1</v>
      </c>
      <c r="C24" t="str">
        <f>VLOOKUP(D24,Ngan_hang_cau_hoi!$B$2:$K$142,9,0)</f>
        <v>Dễ</v>
      </c>
      <c r="D24">
        <f t="shared" si="0"/>
        <v>5</v>
      </c>
      <c r="F24" t="str">
        <f>IF(L24=2,COUNTIF($L$1:L24,2),"")</f>
        <v/>
      </c>
      <c r="G24" t="str">
        <f>VLOOKUP(D24,Ngan_hang_cau_hoi!$B$2:$K$142,L24,0)</f>
        <v>2.5 inch</v>
      </c>
      <c r="H24" t="str">
        <f>IFERROR(VLOOKUP(J24,Ngan_hang_cau_hoi!$I$2:$L$142,4,0),"")</f>
        <v>B</v>
      </c>
      <c r="J24" t="str">
        <f>IF(VLOOKUP(D24,Ngan_hang_cau_hoi!$B$2:$K$142,8,0)=G24,G24,"")</f>
        <v>2.5 inch</v>
      </c>
      <c r="L24">
        <f t="shared" si="1"/>
        <v>4</v>
      </c>
    </row>
    <row r="25" spans="1:12" x14ac:dyDescent="0.25">
      <c r="A25">
        <v>23</v>
      </c>
      <c r="B25" t="str">
        <f>VLOOKUP(D25,Ngan_hang_cau_hoi!$B$2:$K$142,10,0)</f>
        <v>Chương 1</v>
      </c>
      <c r="C25" t="str">
        <f>VLOOKUP(D25,Ngan_hang_cau_hoi!$B$2:$K$142,9,0)</f>
        <v>Dễ</v>
      </c>
      <c r="D25">
        <f t="shared" si="0"/>
        <v>5</v>
      </c>
      <c r="F25" t="str">
        <f>IF(L25=2,COUNTIF($L$1:L25,2),"")</f>
        <v/>
      </c>
      <c r="G25" t="str">
        <f>VLOOKUP(D25,Ngan_hang_cau_hoi!$B$2:$K$142,L25,0)</f>
        <v>5 inch</v>
      </c>
      <c r="H25" t="str">
        <f>IFERROR(VLOOKUP(J25,Ngan_hang_cau_hoi!$I$2:$L$142,4,0),"")</f>
        <v/>
      </c>
      <c r="J25" t="str">
        <f>IF(VLOOKUP(D25,Ngan_hang_cau_hoi!$B$2:$K$142,8,0)=G25,G25,"")</f>
        <v/>
      </c>
      <c r="L25">
        <f t="shared" si="1"/>
        <v>5</v>
      </c>
    </row>
    <row r="26" spans="1:12" x14ac:dyDescent="0.25">
      <c r="A26">
        <v>24</v>
      </c>
      <c r="B26" t="str">
        <f>VLOOKUP(D26,Ngan_hang_cau_hoi!$B$2:$K$142,10,0)</f>
        <v>Chương 1</v>
      </c>
      <c r="C26" t="str">
        <f>VLOOKUP(D26,Ngan_hang_cau_hoi!$B$2:$K$142,9,0)</f>
        <v>Dễ</v>
      </c>
      <c r="D26">
        <f t="shared" si="0"/>
        <v>5</v>
      </c>
      <c r="F26" t="str">
        <f>IF(L26=2,COUNTIF($L$1:L26,2),"")</f>
        <v/>
      </c>
      <c r="G26" t="str">
        <f>VLOOKUP(D26,Ngan_hang_cau_hoi!$B$2:$K$142,L26,0)</f>
        <v>1.8 inch</v>
      </c>
      <c r="H26" t="str">
        <f>IFERROR(VLOOKUP(J26,Ngan_hang_cau_hoi!$I$2:$L$142,4,0),"")</f>
        <v/>
      </c>
      <c r="J26" t="str">
        <f>IF(VLOOKUP(D26,Ngan_hang_cau_hoi!$B$2:$K$142,8,0)=G26,G26,"")</f>
        <v/>
      </c>
      <c r="L26">
        <f t="shared" si="1"/>
        <v>6</v>
      </c>
    </row>
    <row r="27" spans="1:12" x14ac:dyDescent="0.25">
      <c r="A27">
        <v>25</v>
      </c>
      <c r="B27" t="str">
        <f>VLOOKUP(D27,Ngan_hang_cau_hoi!$B$2:$K$142,10,0)</f>
        <v>Chương 1</v>
      </c>
      <c r="C27" t="str">
        <f>VLOOKUP(D27,Ngan_hang_cau_hoi!$B$2:$K$142,9,0)</f>
        <v>Dễ</v>
      </c>
      <c r="D27">
        <f t="shared" si="0"/>
        <v>6</v>
      </c>
      <c r="F27">
        <f>IF(L27=2,COUNTIF($L$1:L27,2),"")</f>
        <v>6</v>
      </c>
      <c r="G27" t="str">
        <f>VLOOKUP(D27,Ngan_hang_cau_hoi!$B$2:$K$142,L27,0)</f>
        <v>Ổ SSD SATA cần nguồn từ:</v>
      </c>
      <c r="H27" t="str">
        <f>IFERROR(VLOOKUP(J27,Ngan_hang_cau_hoi!$I$2:$L$142,4,0),"")</f>
        <v/>
      </c>
      <c r="J27" t="str">
        <f>IF(VLOOKUP(D27,Ngan_hang_cau_hoi!$B$2:$K$142,8,0)=G27,G27,"")</f>
        <v/>
      </c>
      <c r="L27">
        <f t="shared" si="1"/>
        <v>2</v>
      </c>
    </row>
    <row r="28" spans="1:12" x14ac:dyDescent="0.25">
      <c r="A28">
        <v>26</v>
      </c>
      <c r="B28" t="str">
        <f>VLOOKUP(D28,Ngan_hang_cau_hoi!$B$2:$K$142,10,0)</f>
        <v>Chương 1</v>
      </c>
      <c r="C28" t="str">
        <f>VLOOKUP(D28,Ngan_hang_cau_hoi!$B$2:$K$142,9,0)</f>
        <v>Dễ</v>
      </c>
      <c r="D28">
        <f t="shared" si="0"/>
        <v>6</v>
      </c>
      <c r="F28" t="str">
        <f>IF(L28=2,COUNTIF($L$1:L28,2),"")</f>
        <v/>
      </c>
      <c r="G28" t="str">
        <f>VLOOKUP(D28,Ngan_hang_cau_hoi!$B$2:$K$142,L28,0)</f>
        <v>Cáp PCI-E</v>
      </c>
      <c r="H28" t="str">
        <f>IFERROR(VLOOKUP(J28,Ngan_hang_cau_hoi!$I$2:$L$142,4,0),"")</f>
        <v/>
      </c>
      <c r="J28" t="str">
        <f>IF(VLOOKUP(D28,Ngan_hang_cau_hoi!$B$2:$K$142,8,0)=G28,G28,"")</f>
        <v/>
      </c>
      <c r="L28">
        <f t="shared" si="1"/>
        <v>3</v>
      </c>
    </row>
    <row r="29" spans="1:12" x14ac:dyDescent="0.25">
      <c r="A29">
        <v>27</v>
      </c>
      <c r="B29" t="str">
        <f>VLOOKUP(D29,Ngan_hang_cau_hoi!$B$2:$K$142,10,0)</f>
        <v>Chương 1</v>
      </c>
      <c r="C29" t="str">
        <f>VLOOKUP(D29,Ngan_hang_cau_hoi!$B$2:$K$142,9,0)</f>
        <v>Dễ</v>
      </c>
      <c r="D29">
        <f t="shared" si="0"/>
        <v>6</v>
      </c>
      <c r="F29" t="str">
        <f>IF(L29=2,COUNTIF($L$1:L29,2),"")</f>
        <v/>
      </c>
      <c r="G29" t="str">
        <f>VLOOKUP(D29,Ngan_hang_cau_hoi!$B$2:$K$142,L29,0)</f>
        <v>Cáp SATA power</v>
      </c>
      <c r="H29" t="str">
        <f>IFERROR(VLOOKUP(J29,Ngan_hang_cau_hoi!$I$2:$L$142,4,0),"")</f>
        <v>B</v>
      </c>
      <c r="J29" t="str">
        <f>IF(VLOOKUP(D29,Ngan_hang_cau_hoi!$B$2:$K$142,8,0)=G29,G29,"")</f>
        <v>Cáp SATA power</v>
      </c>
      <c r="L29">
        <f t="shared" si="1"/>
        <v>4</v>
      </c>
    </row>
    <row r="30" spans="1:12" x14ac:dyDescent="0.25">
      <c r="A30">
        <v>28</v>
      </c>
      <c r="B30" t="str">
        <f>VLOOKUP(D30,Ngan_hang_cau_hoi!$B$2:$K$142,10,0)</f>
        <v>Chương 1</v>
      </c>
      <c r="C30" t="str">
        <f>VLOOKUP(D30,Ngan_hang_cau_hoi!$B$2:$K$142,9,0)</f>
        <v>Dễ</v>
      </c>
      <c r="D30">
        <f t="shared" si="0"/>
        <v>6</v>
      </c>
      <c r="F30" t="str">
        <f>IF(L30=2,COUNTIF($L$1:L30,2),"")</f>
        <v/>
      </c>
      <c r="G30" t="str">
        <f>VLOOKUP(D30,Ngan_hang_cau_hoi!$B$2:$K$142,L30,0)</f>
        <v>Cáp VGA</v>
      </c>
      <c r="H30" t="str">
        <f>IFERROR(VLOOKUP(J30,Ngan_hang_cau_hoi!$I$2:$L$142,4,0),"")</f>
        <v/>
      </c>
      <c r="J30" t="str">
        <f>IF(VLOOKUP(D30,Ngan_hang_cau_hoi!$B$2:$K$142,8,0)=G30,G30,"")</f>
        <v/>
      </c>
      <c r="L30">
        <f t="shared" si="1"/>
        <v>5</v>
      </c>
    </row>
    <row r="31" spans="1:12" x14ac:dyDescent="0.25">
      <c r="A31">
        <v>29</v>
      </c>
      <c r="B31" t="str">
        <f>VLOOKUP(D31,Ngan_hang_cau_hoi!$B$2:$K$142,10,0)</f>
        <v>Chương 1</v>
      </c>
      <c r="C31" t="str">
        <f>VLOOKUP(D31,Ngan_hang_cau_hoi!$B$2:$K$142,9,0)</f>
        <v>Dễ</v>
      </c>
      <c r="D31">
        <f t="shared" si="0"/>
        <v>6</v>
      </c>
      <c r="F31" t="str">
        <f>IF(L31=2,COUNTIF($L$1:L31,2),"")</f>
        <v/>
      </c>
      <c r="G31" t="str">
        <f>VLOOKUP(D31,Ngan_hang_cau_hoi!$B$2:$K$142,L31,0)</f>
        <v>Cáp USB</v>
      </c>
      <c r="H31" t="str">
        <f>IFERROR(VLOOKUP(J31,Ngan_hang_cau_hoi!$I$2:$L$142,4,0),"")</f>
        <v/>
      </c>
      <c r="J31" t="str">
        <f>IF(VLOOKUP(D31,Ngan_hang_cau_hoi!$B$2:$K$142,8,0)=G31,G31,"")</f>
        <v/>
      </c>
      <c r="L31">
        <f t="shared" si="1"/>
        <v>6</v>
      </c>
    </row>
    <row r="32" spans="1:12" x14ac:dyDescent="0.25">
      <c r="A32">
        <v>30</v>
      </c>
      <c r="B32" t="str">
        <f>VLOOKUP(D32,Ngan_hang_cau_hoi!$B$2:$K$142,10,0)</f>
        <v>Chương 1</v>
      </c>
      <c r="C32" t="str">
        <f>VLOOKUP(D32,Ngan_hang_cau_hoi!$B$2:$K$142,9,0)</f>
        <v>Dễ</v>
      </c>
      <c r="D32">
        <f t="shared" si="0"/>
        <v>7</v>
      </c>
      <c r="F32">
        <f>IF(L32=2,COUNTIF($L$1:L32,2),"")</f>
        <v>7</v>
      </c>
      <c r="G32" t="str">
        <f>VLOOKUP(D32,Ngan_hang_cau_hoi!$B$2:$K$142,L32,0)</f>
        <v>Ổ cứng SSD lưu dữ liệu bằng công nghệ nào?</v>
      </c>
      <c r="H32" t="str">
        <f>IFERROR(VLOOKUP(J32,Ngan_hang_cau_hoi!$I$2:$L$142,4,0),"")</f>
        <v/>
      </c>
      <c r="J32" t="str">
        <f>IF(VLOOKUP(D32,Ngan_hang_cau_hoi!$B$2:$K$142,8,0)=G32,G32,"")</f>
        <v/>
      </c>
      <c r="L32">
        <f t="shared" si="1"/>
        <v>2</v>
      </c>
    </row>
    <row r="33" spans="1:12" x14ac:dyDescent="0.25">
      <c r="A33">
        <v>31</v>
      </c>
      <c r="B33" t="str">
        <f>VLOOKUP(D33,Ngan_hang_cau_hoi!$B$2:$K$142,10,0)</f>
        <v>Chương 1</v>
      </c>
      <c r="C33" t="str">
        <f>VLOOKUP(D33,Ngan_hang_cau_hoi!$B$2:$K$142,9,0)</f>
        <v>Dễ</v>
      </c>
      <c r="D33">
        <f t="shared" si="0"/>
        <v>7</v>
      </c>
      <c r="F33" t="str">
        <f>IF(L33=2,COUNTIF($L$1:L33,2),"")</f>
        <v/>
      </c>
      <c r="G33" t="str">
        <f>VLOOKUP(D33,Ngan_hang_cau_hoi!$B$2:$K$142,L33,0)</f>
        <v>ổ SSD sử công nghệ lưu trữ từ tính.</v>
      </c>
      <c r="H33" t="str">
        <f>IFERROR(VLOOKUP(J33,Ngan_hang_cau_hoi!$I$2:$L$142,4,0),"")</f>
        <v/>
      </c>
      <c r="J33" t="str">
        <f>IF(VLOOKUP(D33,Ngan_hang_cau_hoi!$B$2:$K$142,8,0)=G33,G33,"")</f>
        <v/>
      </c>
      <c r="L33">
        <f t="shared" si="1"/>
        <v>3</v>
      </c>
    </row>
    <row r="34" spans="1:12" x14ac:dyDescent="0.25">
      <c r="A34">
        <v>32</v>
      </c>
      <c r="B34" t="str">
        <f>VLOOKUP(D34,Ngan_hang_cau_hoi!$B$2:$K$142,10,0)</f>
        <v>Chương 1</v>
      </c>
      <c r="C34" t="str">
        <f>VLOOKUP(D34,Ngan_hang_cau_hoi!$B$2:$K$142,9,0)</f>
        <v>Dễ</v>
      </c>
      <c r="D34">
        <f t="shared" si="0"/>
        <v>7</v>
      </c>
      <c r="F34" t="str">
        <f>IF(L34=2,COUNTIF($L$1:L34,2),"")</f>
        <v/>
      </c>
      <c r="G34" t="str">
        <f>VLOOKUP(D34,Ngan_hang_cau_hoi!$B$2:$K$142,L34,0)</f>
        <v>ổ SSD sử công nghệ lưu trữ flash.</v>
      </c>
      <c r="H34" t="str">
        <f>IFERROR(VLOOKUP(J34,Ngan_hang_cau_hoi!$I$2:$L$142,4,0),"")</f>
        <v>B</v>
      </c>
      <c r="J34" t="str">
        <f>IF(VLOOKUP(D34,Ngan_hang_cau_hoi!$B$2:$K$142,8,0)=G34,G34,"")</f>
        <v>ổ SSD sử công nghệ lưu trữ flash.</v>
      </c>
      <c r="L34">
        <f t="shared" si="1"/>
        <v>4</v>
      </c>
    </row>
    <row r="35" spans="1:12" x14ac:dyDescent="0.25">
      <c r="A35">
        <v>33</v>
      </c>
      <c r="B35" t="str">
        <f>VLOOKUP(D35,Ngan_hang_cau_hoi!$B$2:$K$142,10,0)</f>
        <v>Chương 1</v>
      </c>
      <c r="C35" t="str">
        <f>VLOOKUP(D35,Ngan_hang_cau_hoi!$B$2:$K$142,9,0)</f>
        <v>Dễ</v>
      </c>
      <c r="D35">
        <f t="shared" si="0"/>
        <v>7</v>
      </c>
      <c r="F35" t="str">
        <f>IF(L35=2,COUNTIF($L$1:L35,2),"")</f>
        <v/>
      </c>
      <c r="G35" t="str">
        <f>VLOOKUP(D35,Ngan_hang_cau_hoi!$B$2:$K$142,L35,0)</f>
        <v>ổ SSD sử công nghệ lưu trữ đĩa từ và đầu kim đọc dữ liệu</v>
      </c>
      <c r="H35" t="str">
        <f>IFERROR(VLOOKUP(J35,Ngan_hang_cau_hoi!$I$2:$L$142,4,0),"")</f>
        <v/>
      </c>
      <c r="J35" t="str">
        <f>IF(VLOOKUP(D35,Ngan_hang_cau_hoi!$B$2:$K$142,8,0)=G35,G35,"")</f>
        <v/>
      </c>
      <c r="L35">
        <f t="shared" si="1"/>
        <v>5</v>
      </c>
    </row>
    <row r="36" spans="1:12" x14ac:dyDescent="0.25">
      <c r="A36">
        <v>34</v>
      </c>
      <c r="B36" t="str">
        <f>VLOOKUP(D36,Ngan_hang_cau_hoi!$B$2:$K$142,10,0)</f>
        <v>Chương 1</v>
      </c>
      <c r="C36" t="str">
        <f>VLOOKUP(D36,Ngan_hang_cau_hoi!$B$2:$K$142,9,0)</f>
        <v>Dễ</v>
      </c>
      <c r="D36">
        <f t="shared" si="0"/>
        <v>7</v>
      </c>
      <c r="F36" t="str">
        <f>IF(L36=2,COUNTIF($L$1:L36,2),"")</f>
        <v/>
      </c>
      <c r="G36" t="str">
        <f>VLOOKUP(D36,Ngan_hang_cau_hoi!$B$2:$K$142,L36,0)</f>
        <v>ổ SSD chỉ để đọc dữ liệu. Dữ liệu được ghi vào từ lúc sản xuất.</v>
      </c>
      <c r="H36" t="str">
        <f>IFERROR(VLOOKUP(J36,Ngan_hang_cau_hoi!$I$2:$L$142,4,0),"")</f>
        <v/>
      </c>
      <c r="J36" t="str">
        <f>IF(VLOOKUP(D36,Ngan_hang_cau_hoi!$B$2:$K$142,8,0)=G36,G36,"")</f>
        <v/>
      </c>
      <c r="L36">
        <f t="shared" si="1"/>
        <v>6</v>
      </c>
    </row>
    <row r="37" spans="1:12" x14ac:dyDescent="0.25">
      <c r="A37">
        <v>35</v>
      </c>
      <c r="B37" t="str">
        <f>VLOOKUP(D37,Ngan_hang_cau_hoi!$B$2:$K$142,10,0)</f>
        <v>Chương 1</v>
      </c>
      <c r="C37" t="str">
        <f>VLOOKUP(D37,Ngan_hang_cau_hoi!$B$2:$K$142,9,0)</f>
        <v>Dễ</v>
      </c>
      <c r="D37">
        <f t="shared" si="0"/>
        <v>8</v>
      </c>
      <c r="F37">
        <f>IF(L37=2,COUNTIF($L$1:L37,2),"")</f>
        <v>8</v>
      </c>
      <c r="G37" t="str">
        <f>VLOOKUP(D37,Ngan_hang_cau_hoi!$B$2:$K$142,L37,0)</f>
        <v>Nguồn máy tính còn gọi là gì?</v>
      </c>
      <c r="H37" t="str">
        <f>IFERROR(VLOOKUP(J37,Ngan_hang_cau_hoi!$I$2:$L$142,4,0),"")</f>
        <v/>
      </c>
      <c r="J37" t="str">
        <f>IF(VLOOKUP(D37,Ngan_hang_cau_hoi!$B$2:$K$142,8,0)=G37,G37,"")</f>
        <v/>
      </c>
      <c r="L37">
        <f t="shared" si="1"/>
        <v>2</v>
      </c>
    </row>
    <row r="38" spans="1:12" x14ac:dyDescent="0.25">
      <c r="A38">
        <v>36</v>
      </c>
      <c r="B38" t="str">
        <f>VLOOKUP(D38,Ngan_hang_cau_hoi!$B$2:$K$142,10,0)</f>
        <v>Chương 1</v>
      </c>
      <c r="C38" t="str">
        <f>VLOOKUP(D38,Ngan_hang_cau_hoi!$B$2:$K$142,9,0)</f>
        <v>Dễ</v>
      </c>
      <c r="D38">
        <f t="shared" si="0"/>
        <v>8</v>
      </c>
      <c r="F38" t="str">
        <f>IF(L38=2,COUNTIF($L$1:L38,2),"")</f>
        <v/>
      </c>
      <c r="G38" t="str">
        <f>VLOOKUP(D38,Ngan_hang_cau_hoi!$B$2:$K$142,L38,0)</f>
        <v>GPU</v>
      </c>
      <c r="H38" t="str">
        <f>IFERROR(VLOOKUP(J38,Ngan_hang_cau_hoi!$I$2:$L$142,4,0),"")</f>
        <v/>
      </c>
      <c r="J38" t="str">
        <f>IF(VLOOKUP(D38,Ngan_hang_cau_hoi!$B$2:$K$142,8,0)=G38,G38,"")</f>
        <v/>
      </c>
      <c r="L38">
        <f t="shared" si="1"/>
        <v>3</v>
      </c>
    </row>
    <row r="39" spans="1:12" x14ac:dyDescent="0.25">
      <c r="A39">
        <v>37</v>
      </c>
      <c r="B39" t="str">
        <f>VLOOKUP(D39,Ngan_hang_cau_hoi!$B$2:$K$142,10,0)</f>
        <v>Chương 1</v>
      </c>
      <c r="C39" t="str">
        <f>VLOOKUP(D39,Ngan_hang_cau_hoi!$B$2:$K$142,9,0)</f>
        <v>Dễ</v>
      </c>
      <c r="D39">
        <f t="shared" si="0"/>
        <v>8</v>
      </c>
      <c r="F39" t="str">
        <f>IF(L39=2,COUNTIF($L$1:L39,2),"")</f>
        <v/>
      </c>
      <c r="G39" t="str">
        <f>VLOOKUP(D39,Ngan_hang_cau_hoi!$B$2:$K$142,L39,0)</f>
        <v>PSU</v>
      </c>
      <c r="H39" t="str">
        <f>IFERROR(VLOOKUP(J39,Ngan_hang_cau_hoi!$I$2:$L$142,4,0),"")</f>
        <v>B</v>
      </c>
      <c r="J39" t="str">
        <f>IF(VLOOKUP(D39,Ngan_hang_cau_hoi!$B$2:$K$142,8,0)=G39,G39,"")</f>
        <v>PSU</v>
      </c>
      <c r="L39">
        <f t="shared" si="1"/>
        <v>4</v>
      </c>
    </row>
    <row r="40" spans="1:12" x14ac:dyDescent="0.25">
      <c r="A40">
        <v>38</v>
      </c>
      <c r="B40" t="str">
        <f>VLOOKUP(D40,Ngan_hang_cau_hoi!$B$2:$K$142,10,0)</f>
        <v>Chương 1</v>
      </c>
      <c r="C40" t="str">
        <f>VLOOKUP(D40,Ngan_hang_cau_hoi!$B$2:$K$142,9,0)</f>
        <v>Dễ</v>
      </c>
      <c r="D40">
        <f t="shared" si="0"/>
        <v>8</v>
      </c>
      <c r="F40" t="str">
        <f>IF(L40=2,COUNTIF($L$1:L40,2),"")</f>
        <v/>
      </c>
      <c r="G40" t="str">
        <f>VLOOKUP(D40,Ngan_hang_cau_hoi!$B$2:$K$142,L40,0)</f>
        <v>UPS</v>
      </c>
      <c r="H40" t="str">
        <f>IFERROR(VLOOKUP(J40,Ngan_hang_cau_hoi!$I$2:$L$142,4,0),"")</f>
        <v/>
      </c>
      <c r="J40" t="str">
        <f>IF(VLOOKUP(D40,Ngan_hang_cau_hoi!$B$2:$K$142,8,0)=G40,G40,"")</f>
        <v/>
      </c>
      <c r="L40">
        <f t="shared" si="1"/>
        <v>5</v>
      </c>
    </row>
    <row r="41" spans="1:12" x14ac:dyDescent="0.25">
      <c r="A41">
        <v>39</v>
      </c>
      <c r="B41" t="str">
        <f>VLOOKUP(D41,Ngan_hang_cau_hoi!$B$2:$K$142,10,0)</f>
        <v>Chương 1</v>
      </c>
      <c r="C41" t="str">
        <f>VLOOKUP(D41,Ngan_hang_cau_hoi!$B$2:$K$142,9,0)</f>
        <v>Dễ</v>
      </c>
      <c r="D41">
        <f t="shared" si="0"/>
        <v>8</v>
      </c>
      <c r="F41" t="str">
        <f>IF(L41=2,COUNTIF($L$1:L41,2),"")</f>
        <v/>
      </c>
      <c r="G41" t="str">
        <f>VLOOKUP(D41,Ngan_hang_cau_hoi!$B$2:$K$142,L41,0)</f>
        <v>ROM</v>
      </c>
      <c r="H41" t="str">
        <f>IFERROR(VLOOKUP(J41,Ngan_hang_cau_hoi!$I$2:$L$142,4,0),"")</f>
        <v/>
      </c>
      <c r="J41" t="str">
        <f>IF(VLOOKUP(D41,Ngan_hang_cau_hoi!$B$2:$K$142,8,0)=G41,G41,"")</f>
        <v/>
      </c>
      <c r="L41">
        <f t="shared" si="1"/>
        <v>6</v>
      </c>
    </row>
    <row r="42" spans="1:12" x14ac:dyDescent="0.25">
      <c r="A42">
        <v>40</v>
      </c>
      <c r="B42" t="str">
        <f>VLOOKUP(D42,Ngan_hang_cau_hoi!$B$2:$K$142,10,0)</f>
        <v>Chương 1</v>
      </c>
      <c r="C42" t="str">
        <f>VLOOKUP(D42,Ngan_hang_cau_hoi!$B$2:$K$142,9,0)</f>
        <v>Dễ</v>
      </c>
      <c r="D42">
        <f t="shared" si="0"/>
        <v>9</v>
      </c>
      <c r="F42">
        <f>IF(L42=2,COUNTIF($L$1:L42,2),"")</f>
        <v>9</v>
      </c>
      <c r="G42" t="str">
        <f>VLOOKUP(D42,Ngan_hang_cau_hoi!$B$2:$K$142,L42,0)</f>
        <v>Nếu mainboard hỗ trợ DDR5, RAM DDR4 sẽ:</v>
      </c>
      <c r="H42" t="str">
        <f>IFERROR(VLOOKUP(J42,Ngan_hang_cau_hoi!$I$2:$L$142,4,0),"")</f>
        <v/>
      </c>
      <c r="J42" t="str">
        <f>IF(VLOOKUP(D42,Ngan_hang_cau_hoi!$B$2:$K$142,8,0)=G42,G42,"")</f>
        <v/>
      </c>
      <c r="L42">
        <f t="shared" si="1"/>
        <v>2</v>
      </c>
    </row>
    <row r="43" spans="1:12" x14ac:dyDescent="0.25">
      <c r="A43">
        <v>41</v>
      </c>
      <c r="B43" t="str">
        <f>VLOOKUP(D43,Ngan_hang_cau_hoi!$B$2:$K$142,10,0)</f>
        <v>Chương 1</v>
      </c>
      <c r="C43" t="str">
        <f>VLOOKUP(D43,Ngan_hang_cau_hoi!$B$2:$K$142,9,0)</f>
        <v>Dễ</v>
      </c>
      <c r="D43">
        <f t="shared" si="0"/>
        <v>9</v>
      </c>
      <c r="F43" t="str">
        <f>IF(L43=2,COUNTIF($L$1:L43,2),"")</f>
        <v/>
      </c>
      <c r="G43" t="str">
        <f>VLOOKUP(D43,Ngan_hang_cau_hoi!$B$2:$K$142,L43,0)</f>
        <v>Chạy chậm</v>
      </c>
      <c r="H43" t="str">
        <f>IFERROR(VLOOKUP(J43,Ngan_hang_cau_hoi!$I$2:$L$142,4,0),"")</f>
        <v/>
      </c>
      <c r="J43" t="str">
        <f>IF(VLOOKUP(D43,Ngan_hang_cau_hoi!$B$2:$K$142,8,0)=G43,G43,"")</f>
        <v/>
      </c>
      <c r="L43">
        <f t="shared" si="1"/>
        <v>3</v>
      </c>
    </row>
    <row r="44" spans="1:12" x14ac:dyDescent="0.25">
      <c r="A44">
        <v>42</v>
      </c>
      <c r="B44" t="str">
        <f>VLOOKUP(D44,Ngan_hang_cau_hoi!$B$2:$K$142,10,0)</f>
        <v>Chương 1</v>
      </c>
      <c r="C44" t="str">
        <f>VLOOKUP(D44,Ngan_hang_cau_hoi!$B$2:$K$142,9,0)</f>
        <v>Dễ</v>
      </c>
      <c r="D44">
        <f t="shared" si="0"/>
        <v>9</v>
      </c>
      <c r="F44" t="str">
        <f>IF(L44=2,COUNTIF($L$1:L44,2),"")</f>
        <v/>
      </c>
      <c r="G44" t="str">
        <f>VLOOKUP(D44,Ngan_hang_cau_hoi!$B$2:$K$142,L44,0)</f>
        <v>Không lắp được</v>
      </c>
      <c r="H44" t="str">
        <f>IFERROR(VLOOKUP(J44,Ngan_hang_cau_hoi!$I$2:$L$142,4,0),"")</f>
        <v>B</v>
      </c>
      <c r="J44" t="str">
        <f>IF(VLOOKUP(D44,Ngan_hang_cau_hoi!$B$2:$K$142,8,0)=G44,G44,"")</f>
        <v>Không lắp được</v>
      </c>
      <c r="L44">
        <f t="shared" si="1"/>
        <v>4</v>
      </c>
    </row>
    <row r="45" spans="1:12" x14ac:dyDescent="0.25">
      <c r="A45">
        <v>43</v>
      </c>
      <c r="B45" t="str">
        <f>VLOOKUP(D45,Ngan_hang_cau_hoi!$B$2:$K$142,10,0)</f>
        <v>Chương 1</v>
      </c>
      <c r="C45" t="str">
        <f>VLOOKUP(D45,Ngan_hang_cau_hoi!$B$2:$K$142,9,0)</f>
        <v>Dễ</v>
      </c>
      <c r="D45">
        <f t="shared" si="0"/>
        <v>9</v>
      </c>
      <c r="F45" t="str">
        <f>IF(L45=2,COUNTIF($L$1:L45,2),"")</f>
        <v/>
      </c>
      <c r="G45" t="str">
        <f>VLOOKUP(D45,Ngan_hang_cau_hoi!$B$2:$K$142,L45,0)</f>
        <v>Chạy bình thường</v>
      </c>
      <c r="H45" t="str">
        <f>IFERROR(VLOOKUP(J45,Ngan_hang_cau_hoi!$I$2:$L$142,4,0),"")</f>
        <v/>
      </c>
      <c r="J45" t="str">
        <f>IF(VLOOKUP(D45,Ngan_hang_cau_hoi!$B$2:$K$142,8,0)=G45,G45,"")</f>
        <v/>
      </c>
      <c r="L45">
        <f t="shared" si="1"/>
        <v>5</v>
      </c>
    </row>
    <row r="46" spans="1:12" x14ac:dyDescent="0.25">
      <c r="A46">
        <v>44</v>
      </c>
      <c r="B46" t="str">
        <f>VLOOKUP(D46,Ngan_hang_cau_hoi!$B$2:$K$142,10,0)</f>
        <v>Chương 1</v>
      </c>
      <c r="C46" t="str">
        <f>VLOOKUP(D46,Ngan_hang_cau_hoi!$B$2:$K$142,9,0)</f>
        <v>Dễ</v>
      </c>
      <c r="D46">
        <f t="shared" si="0"/>
        <v>9</v>
      </c>
      <c r="F46" t="str">
        <f>IF(L46=2,COUNTIF($L$1:L46,2),"")</f>
        <v/>
      </c>
      <c r="G46" t="str">
        <f>VLOOKUP(D46,Ngan_hang_cau_hoi!$B$2:$K$142,L46,0)</f>
        <v>Chạy nửa tốc độ</v>
      </c>
      <c r="H46" t="str">
        <f>IFERROR(VLOOKUP(J46,Ngan_hang_cau_hoi!$I$2:$L$142,4,0),"")</f>
        <v/>
      </c>
      <c r="J46" t="str">
        <f>IF(VLOOKUP(D46,Ngan_hang_cau_hoi!$B$2:$K$142,8,0)=G46,G46,"")</f>
        <v/>
      </c>
      <c r="L46">
        <f t="shared" si="1"/>
        <v>6</v>
      </c>
    </row>
    <row r="47" spans="1:12" x14ac:dyDescent="0.25">
      <c r="A47">
        <v>45</v>
      </c>
      <c r="B47" t="str">
        <f>VLOOKUP(D47,Ngan_hang_cau_hoi!$B$2:$K$142,10,0)</f>
        <v>Chương 1</v>
      </c>
      <c r="C47" t="str">
        <f>VLOOKUP(D47,Ngan_hang_cau_hoi!$B$2:$K$142,9,0)</f>
        <v>Dễ</v>
      </c>
      <c r="D47">
        <f t="shared" si="0"/>
        <v>10</v>
      </c>
      <c r="F47">
        <f>IF(L47=2,COUNTIF($L$1:L47,2),"")</f>
        <v>10</v>
      </c>
      <c r="G47" t="str">
        <f>VLOOKUP(D47,Ngan_hang_cau_hoi!$B$2:$K$142,L47,0)</f>
        <v>Nếu CPU không đúng socket với mainboard thì:</v>
      </c>
      <c r="H47" t="str">
        <f>IFERROR(VLOOKUP(J47,Ngan_hang_cau_hoi!$I$2:$L$142,4,0),"")</f>
        <v/>
      </c>
      <c r="J47" t="str">
        <f>IF(VLOOKUP(D47,Ngan_hang_cau_hoi!$B$2:$K$142,8,0)=G47,G47,"")</f>
        <v/>
      </c>
      <c r="L47">
        <f t="shared" si="1"/>
        <v>2</v>
      </c>
    </row>
    <row r="48" spans="1:12" x14ac:dyDescent="0.25">
      <c r="A48">
        <v>46</v>
      </c>
      <c r="B48" t="str">
        <f>VLOOKUP(D48,Ngan_hang_cau_hoi!$B$2:$K$142,10,0)</f>
        <v>Chương 1</v>
      </c>
      <c r="C48" t="str">
        <f>VLOOKUP(D48,Ngan_hang_cau_hoi!$B$2:$K$142,9,0)</f>
        <v>Dễ</v>
      </c>
      <c r="D48">
        <f t="shared" si="0"/>
        <v>10</v>
      </c>
      <c r="F48" t="str">
        <f>IF(L48=2,COUNTIF($L$1:L48,2),"")</f>
        <v/>
      </c>
      <c r="G48" t="str">
        <f>VLOOKUP(D48,Ngan_hang_cau_hoi!$B$2:$K$142,L48,0)</f>
        <v>Lắp được nhưng máy chạy chậm.</v>
      </c>
      <c r="H48" t="str">
        <f>IFERROR(VLOOKUP(J48,Ngan_hang_cau_hoi!$I$2:$L$142,4,0),"")</f>
        <v/>
      </c>
      <c r="J48" t="str">
        <f>IF(VLOOKUP(D48,Ngan_hang_cau_hoi!$B$2:$K$142,8,0)=G48,G48,"")</f>
        <v/>
      </c>
      <c r="L48">
        <f t="shared" si="1"/>
        <v>3</v>
      </c>
    </row>
    <row r="49" spans="1:12" x14ac:dyDescent="0.25">
      <c r="A49">
        <v>47</v>
      </c>
      <c r="B49" t="str">
        <f>VLOOKUP(D49,Ngan_hang_cau_hoi!$B$2:$K$142,10,0)</f>
        <v>Chương 1</v>
      </c>
      <c r="C49" t="str">
        <f>VLOOKUP(D49,Ngan_hang_cau_hoi!$B$2:$K$142,9,0)</f>
        <v>Dễ</v>
      </c>
      <c r="D49">
        <f t="shared" si="0"/>
        <v>10</v>
      </c>
      <c r="F49" t="str">
        <f>IF(L49=2,COUNTIF($L$1:L49,2),"")</f>
        <v/>
      </c>
      <c r="G49" t="str">
        <f>VLOOKUP(D49,Ngan_hang_cau_hoi!$B$2:$K$142,L49,0)</f>
        <v>Không lắp được CPU.</v>
      </c>
      <c r="H49" t="str">
        <f>IFERROR(VLOOKUP(J49,Ngan_hang_cau_hoi!$I$2:$L$142,4,0),"")</f>
        <v>B</v>
      </c>
      <c r="J49" t="str">
        <f>IF(VLOOKUP(D49,Ngan_hang_cau_hoi!$B$2:$K$142,8,0)=G49,G49,"")</f>
        <v>Không lắp được CPU.</v>
      </c>
      <c r="L49">
        <f t="shared" si="1"/>
        <v>4</v>
      </c>
    </row>
    <row r="50" spans="1:12" x14ac:dyDescent="0.25">
      <c r="A50">
        <v>48</v>
      </c>
      <c r="B50" t="str">
        <f>VLOOKUP(D50,Ngan_hang_cau_hoi!$B$2:$K$142,10,0)</f>
        <v>Chương 1</v>
      </c>
      <c r="C50" t="str">
        <f>VLOOKUP(D50,Ngan_hang_cau_hoi!$B$2:$K$142,9,0)</f>
        <v>Dễ</v>
      </c>
      <c r="D50">
        <f t="shared" si="0"/>
        <v>10</v>
      </c>
      <c r="F50" t="str">
        <f>IF(L50=2,COUNTIF($L$1:L50,2),"")</f>
        <v/>
      </c>
      <c r="G50" t="str">
        <f>VLOOKUP(D50,Ngan_hang_cau_hoi!$B$2:$K$142,L50,0)</f>
        <v>Không nhận RAM.</v>
      </c>
      <c r="H50" t="str">
        <f>IFERROR(VLOOKUP(J50,Ngan_hang_cau_hoi!$I$2:$L$142,4,0),"")</f>
        <v/>
      </c>
      <c r="J50" t="str">
        <f>IF(VLOOKUP(D50,Ngan_hang_cau_hoi!$B$2:$K$142,8,0)=G50,G50,"")</f>
        <v/>
      </c>
      <c r="L50">
        <f t="shared" si="1"/>
        <v>5</v>
      </c>
    </row>
    <row r="51" spans="1:12" x14ac:dyDescent="0.25">
      <c r="A51">
        <v>49</v>
      </c>
      <c r="B51" t="str">
        <f>VLOOKUP(D51,Ngan_hang_cau_hoi!$B$2:$K$142,10,0)</f>
        <v>Chương 1</v>
      </c>
      <c r="C51" t="str">
        <f>VLOOKUP(D51,Ngan_hang_cau_hoi!$B$2:$K$142,9,0)</f>
        <v>Dễ</v>
      </c>
      <c r="D51">
        <f t="shared" si="0"/>
        <v>10</v>
      </c>
      <c r="F51" t="str">
        <f>IF(L51=2,COUNTIF($L$1:L51,2),"")</f>
        <v/>
      </c>
      <c r="G51" t="str">
        <f>VLOOKUP(D51,Ngan_hang_cau_hoi!$B$2:$K$142,L51,0)</f>
        <v>Không có vấn đề gì.</v>
      </c>
      <c r="H51" t="str">
        <f>IFERROR(VLOOKUP(J51,Ngan_hang_cau_hoi!$I$2:$L$142,4,0),"")</f>
        <v/>
      </c>
      <c r="J51" t="str">
        <f>IF(VLOOKUP(D51,Ngan_hang_cau_hoi!$B$2:$K$142,8,0)=G51,G51,"")</f>
        <v/>
      </c>
      <c r="L51">
        <f t="shared" si="1"/>
        <v>6</v>
      </c>
    </row>
    <row r="52" spans="1:12" x14ac:dyDescent="0.25">
      <c r="A52">
        <v>50</v>
      </c>
      <c r="B52" t="str">
        <f>VLOOKUP(D52,Ngan_hang_cau_hoi!$B$2:$K$142,10,0)</f>
        <v>Chương 1</v>
      </c>
      <c r="C52" t="str">
        <f>VLOOKUP(D52,Ngan_hang_cau_hoi!$B$2:$K$142,9,0)</f>
        <v>Dễ</v>
      </c>
      <c r="D52">
        <f t="shared" si="0"/>
        <v>11</v>
      </c>
      <c r="F52">
        <f>IF(L52=2,COUNTIF($L$1:L52,2),"")</f>
        <v>11</v>
      </c>
      <c r="G52" t="str">
        <f>VLOOKUP(D52,Ngan_hang_cau_hoi!$B$2:$K$142,L52,0)</f>
        <v>Mainboard Micro-ATX có thể lắp vào case ATX không?</v>
      </c>
      <c r="H52" t="str">
        <f>IFERROR(VLOOKUP(J52,Ngan_hang_cau_hoi!$I$2:$L$142,4,0),"")</f>
        <v/>
      </c>
      <c r="J52" t="str">
        <f>IF(VLOOKUP(D52,Ngan_hang_cau_hoi!$B$2:$K$142,8,0)=G52,G52,"")</f>
        <v/>
      </c>
      <c r="L52">
        <f t="shared" si="1"/>
        <v>2</v>
      </c>
    </row>
    <row r="53" spans="1:12" x14ac:dyDescent="0.25">
      <c r="A53">
        <v>51</v>
      </c>
      <c r="B53" t="str">
        <f>VLOOKUP(D53,Ngan_hang_cau_hoi!$B$2:$K$142,10,0)</f>
        <v>Chương 1</v>
      </c>
      <c r="C53" t="str">
        <f>VLOOKUP(D53,Ngan_hang_cau_hoi!$B$2:$K$142,9,0)</f>
        <v>Dễ</v>
      </c>
      <c r="D53">
        <f t="shared" si="0"/>
        <v>11</v>
      </c>
      <c r="F53" t="str">
        <f>IF(L53=2,COUNTIF($L$1:L53,2),"")</f>
        <v/>
      </c>
      <c r="G53" t="str">
        <f>VLOOKUP(D53,Ngan_hang_cau_hoi!$B$2:$K$142,L53,0)</f>
        <v>Có</v>
      </c>
      <c r="H53" t="str">
        <f>IFERROR(VLOOKUP(J53,Ngan_hang_cau_hoi!$I$2:$L$142,4,0),"")</f>
        <v>A</v>
      </c>
      <c r="J53" t="str">
        <f>IF(VLOOKUP(D53,Ngan_hang_cau_hoi!$B$2:$K$142,8,0)=G53,G53,"")</f>
        <v>Có</v>
      </c>
      <c r="L53">
        <f t="shared" si="1"/>
        <v>3</v>
      </c>
    </row>
    <row r="54" spans="1:12" x14ac:dyDescent="0.25">
      <c r="A54">
        <v>52</v>
      </c>
      <c r="B54" t="str">
        <f>VLOOKUP(D54,Ngan_hang_cau_hoi!$B$2:$K$142,10,0)</f>
        <v>Chương 1</v>
      </c>
      <c r="C54" t="str">
        <f>VLOOKUP(D54,Ngan_hang_cau_hoi!$B$2:$K$142,9,0)</f>
        <v>Dễ</v>
      </c>
      <c r="D54">
        <f t="shared" si="0"/>
        <v>11</v>
      </c>
      <c r="F54" t="str">
        <f>IF(L54=2,COUNTIF($L$1:L54,2),"")</f>
        <v/>
      </c>
      <c r="G54" t="str">
        <f>VLOOKUP(D54,Ngan_hang_cau_hoi!$B$2:$K$142,L54,0)</f>
        <v>Không</v>
      </c>
      <c r="H54" t="str">
        <f>IFERROR(VLOOKUP(J54,Ngan_hang_cau_hoi!$I$2:$L$142,4,0),"")</f>
        <v/>
      </c>
      <c r="J54" t="str">
        <f>IF(VLOOKUP(D54,Ngan_hang_cau_hoi!$B$2:$K$142,8,0)=G54,G54,"")</f>
        <v/>
      </c>
      <c r="L54">
        <f t="shared" si="1"/>
        <v>4</v>
      </c>
    </row>
    <row r="55" spans="1:12" x14ac:dyDescent="0.25">
      <c r="A55">
        <v>53</v>
      </c>
      <c r="B55" t="str">
        <f>VLOOKUP(D55,Ngan_hang_cau_hoi!$B$2:$K$142,10,0)</f>
        <v>Chương 1</v>
      </c>
      <c r="C55" t="str">
        <f>VLOOKUP(D55,Ngan_hang_cau_hoi!$B$2:$K$142,9,0)</f>
        <v>Dễ</v>
      </c>
      <c r="D55">
        <f t="shared" si="0"/>
        <v>11</v>
      </c>
      <c r="F55" t="str">
        <f>IF(L55=2,COUNTIF($L$1:L55,2),"")</f>
        <v/>
      </c>
      <c r="G55" t="str">
        <f>VLOOKUP(D55,Ngan_hang_cau_hoi!$B$2:$K$142,L55,0)</f>
        <v>Chỉ khi dùng adapter</v>
      </c>
      <c r="H55" t="str">
        <f>IFERROR(VLOOKUP(J55,Ngan_hang_cau_hoi!$I$2:$L$142,4,0),"")</f>
        <v/>
      </c>
      <c r="J55" t="str">
        <f>IF(VLOOKUP(D55,Ngan_hang_cau_hoi!$B$2:$K$142,8,0)=G55,G55,"")</f>
        <v/>
      </c>
      <c r="L55">
        <f t="shared" si="1"/>
        <v>5</v>
      </c>
    </row>
    <row r="56" spans="1:12" x14ac:dyDescent="0.25">
      <c r="A56">
        <v>54</v>
      </c>
      <c r="B56" t="str">
        <f>VLOOKUP(D56,Ngan_hang_cau_hoi!$B$2:$K$142,10,0)</f>
        <v>Chương 1</v>
      </c>
      <c r="C56" t="str">
        <f>VLOOKUP(D56,Ngan_hang_cau_hoi!$B$2:$K$142,9,0)</f>
        <v>Dễ</v>
      </c>
      <c r="D56">
        <f t="shared" si="0"/>
        <v>11</v>
      </c>
      <c r="F56" t="str">
        <f>IF(L56=2,COUNTIF($L$1:L56,2),"")</f>
        <v/>
      </c>
      <c r="G56" t="str">
        <f>VLOOKUP(D56,Ngan_hang_cau_hoi!$B$2:$K$142,L56,0)</f>
        <v>Chỉ khi nâng cấp BIOS</v>
      </c>
      <c r="H56" t="str">
        <f>IFERROR(VLOOKUP(J56,Ngan_hang_cau_hoi!$I$2:$L$142,4,0),"")</f>
        <v/>
      </c>
      <c r="J56" t="str">
        <f>IF(VLOOKUP(D56,Ngan_hang_cau_hoi!$B$2:$K$142,8,0)=G56,G56,"")</f>
        <v/>
      </c>
      <c r="L56">
        <f t="shared" si="1"/>
        <v>6</v>
      </c>
    </row>
    <row r="57" spans="1:12" x14ac:dyDescent="0.25">
      <c r="A57">
        <v>55</v>
      </c>
      <c r="B57" t="str">
        <f>VLOOKUP(D57,Ngan_hang_cau_hoi!$B$2:$K$142,10,0)</f>
        <v>Chương 1</v>
      </c>
      <c r="C57" t="str">
        <f>VLOOKUP(D57,Ngan_hang_cau_hoi!$B$2:$K$142,9,0)</f>
        <v>Dễ</v>
      </c>
      <c r="D57">
        <f t="shared" si="0"/>
        <v>12</v>
      </c>
      <c r="F57">
        <f>IF(L57=2,COUNTIF($L$1:L57,2),"")</f>
        <v>12</v>
      </c>
      <c r="G57" t="str">
        <f>VLOOKUP(D57,Ngan_hang_cau_hoi!$B$2:$K$142,L57,0)</f>
        <v>Mainboard là gì?</v>
      </c>
      <c r="H57" t="str">
        <f>IFERROR(VLOOKUP(J57,Ngan_hang_cau_hoi!$I$2:$L$142,4,0),"")</f>
        <v/>
      </c>
      <c r="J57" t="str">
        <f>IF(VLOOKUP(D57,Ngan_hang_cau_hoi!$B$2:$K$142,8,0)=G57,G57,"")</f>
        <v/>
      </c>
      <c r="L57">
        <f t="shared" si="1"/>
        <v>2</v>
      </c>
    </row>
    <row r="58" spans="1:12" x14ac:dyDescent="0.25">
      <c r="A58">
        <v>56</v>
      </c>
      <c r="B58" t="str">
        <f>VLOOKUP(D58,Ngan_hang_cau_hoi!$B$2:$K$142,10,0)</f>
        <v>Chương 1</v>
      </c>
      <c r="C58" t="str">
        <f>VLOOKUP(D58,Ngan_hang_cau_hoi!$B$2:$K$142,9,0)</f>
        <v>Dễ</v>
      </c>
      <c r="D58">
        <f t="shared" si="0"/>
        <v>12</v>
      </c>
      <c r="F58" t="str">
        <f>IF(L58=2,COUNTIF($L$1:L58,2),"")</f>
        <v/>
      </c>
      <c r="G58" t="str">
        <f>VLOOKUP(D58,Ngan_hang_cau_hoi!$B$2:$K$142,L58,0)</f>
        <v>Thiết bị lưu trữ</v>
      </c>
      <c r="H58" t="str">
        <f>IFERROR(VLOOKUP(J58,Ngan_hang_cau_hoi!$I$2:$L$142,4,0),"")</f>
        <v/>
      </c>
      <c r="J58" t="str">
        <f>IF(VLOOKUP(D58,Ngan_hang_cau_hoi!$B$2:$K$142,8,0)=G58,G58,"")</f>
        <v/>
      </c>
      <c r="L58">
        <f t="shared" si="1"/>
        <v>3</v>
      </c>
    </row>
    <row r="59" spans="1:12" x14ac:dyDescent="0.25">
      <c r="A59">
        <v>57</v>
      </c>
      <c r="B59" t="str">
        <f>VLOOKUP(D59,Ngan_hang_cau_hoi!$B$2:$K$142,10,0)</f>
        <v>Chương 1</v>
      </c>
      <c r="C59" t="str">
        <f>VLOOKUP(D59,Ngan_hang_cau_hoi!$B$2:$K$142,9,0)</f>
        <v>Dễ</v>
      </c>
      <c r="D59">
        <f t="shared" si="0"/>
        <v>12</v>
      </c>
      <c r="F59" t="str">
        <f>IF(L59=2,COUNTIF($L$1:L59,2),"")</f>
        <v/>
      </c>
      <c r="G59" t="str">
        <f>VLOOKUP(D59,Ngan_hang_cau_hoi!$B$2:$K$142,L59,0)</f>
        <v>Bo mạch chủ</v>
      </c>
      <c r="H59" t="str">
        <f>IFERROR(VLOOKUP(J59,Ngan_hang_cau_hoi!$I$2:$L$142,4,0),"")</f>
        <v>B</v>
      </c>
      <c r="J59" t="str">
        <f>IF(VLOOKUP(D59,Ngan_hang_cau_hoi!$B$2:$K$142,8,0)=G59,G59,"")</f>
        <v>Bo mạch chủ</v>
      </c>
      <c r="L59">
        <f t="shared" si="1"/>
        <v>4</v>
      </c>
    </row>
    <row r="60" spans="1:12" x14ac:dyDescent="0.25">
      <c r="A60">
        <v>58</v>
      </c>
      <c r="B60" t="str">
        <f>VLOOKUP(D60,Ngan_hang_cau_hoi!$B$2:$K$142,10,0)</f>
        <v>Chương 1</v>
      </c>
      <c r="C60" t="str">
        <f>VLOOKUP(D60,Ngan_hang_cau_hoi!$B$2:$K$142,9,0)</f>
        <v>Dễ</v>
      </c>
      <c r="D60">
        <f t="shared" si="0"/>
        <v>12</v>
      </c>
      <c r="F60" t="str">
        <f>IF(L60=2,COUNTIF($L$1:L60,2),"")</f>
        <v/>
      </c>
      <c r="G60" t="str">
        <f>VLOOKUP(D60,Ngan_hang_cau_hoi!$B$2:$K$142,L60,0)</f>
        <v>Thiết bị xuất hình</v>
      </c>
      <c r="H60" t="str">
        <f>IFERROR(VLOOKUP(J60,Ngan_hang_cau_hoi!$I$2:$L$142,4,0),"")</f>
        <v/>
      </c>
      <c r="J60" t="str">
        <f>IF(VLOOKUP(D60,Ngan_hang_cau_hoi!$B$2:$K$142,8,0)=G60,G60,"")</f>
        <v/>
      </c>
      <c r="L60">
        <f t="shared" si="1"/>
        <v>5</v>
      </c>
    </row>
    <row r="61" spans="1:12" x14ac:dyDescent="0.25">
      <c r="A61">
        <v>59</v>
      </c>
      <c r="B61" t="str">
        <f>VLOOKUP(D61,Ngan_hang_cau_hoi!$B$2:$K$142,10,0)</f>
        <v>Chương 1</v>
      </c>
      <c r="C61" t="str">
        <f>VLOOKUP(D61,Ngan_hang_cau_hoi!$B$2:$K$142,9,0)</f>
        <v>Dễ</v>
      </c>
      <c r="D61">
        <f t="shared" si="0"/>
        <v>12</v>
      </c>
      <c r="F61" t="str">
        <f>IF(L61=2,COUNTIF($L$1:L61,2),"")</f>
        <v/>
      </c>
      <c r="G61" t="str">
        <f>VLOOKUP(D61,Ngan_hang_cau_hoi!$B$2:$K$142,L61,0)</f>
        <v>Thiết bị nhập</v>
      </c>
      <c r="H61" t="str">
        <f>IFERROR(VLOOKUP(J61,Ngan_hang_cau_hoi!$I$2:$L$142,4,0),"")</f>
        <v/>
      </c>
      <c r="J61" t="str">
        <f>IF(VLOOKUP(D61,Ngan_hang_cau_hoi!$B$2:$K$142,8,0)=G61,G61,"")</f>
        <v/>
      </c>
      <c r="L61">
        <f t="shared" si="1"/>
        <v>6</v>
      </c>
    </row>
    <row r="62" spans="1:12" x14ac:dyDescent="0.25">
      <c r="A62">
        <v>60</v>
      </c>
      <c r="B62" t="str">
        <f>VLOOKUP(D62,Ngan_hang_cau_hoi!$B$2:$K$142,10,0)</f>
        <v>Chương 1</v>
      </c>
      <c r="C62" t="str">
        <f>VLOOKUP(D62,Ngan_hang_cau_hoi!$B$2:$K$142,9,0)</f>
        <v>Dễ</v>
      </c>
      <c r="D62">
        <f t="shared" si="0"/>
        <v>13</v>
      </c>
      <c r="F62">
        <f>IF(L62=2,COUNTIF($L$1:L62,2),"")</f>
        <v>13</v>
      </c>
      <c r="G62" t="str">
        <f>VLOOKUP(D62,Ngan_hang_cau_hoi!$B$2:$K$142,L62,0)</f>
        <v>CPU có cache L1, L2, L3. Trong đó cache nhanh nhất là:</v>
      </c>
      <c r="H62" t="str">
        <f>IFERROR(VLOOKUP(J62,Ngan_hang_cau_hoi!$I$2:$L$142,4,0),"")</f>
        <v/>
      </c>
      <c r="J62" t="str">
        <f>IF(VLOOKUP(D62,Ngan_hang_cau_hoi!$B$2:$K$142,8,0)=G62,G62,"")</f>
        <v/>
      </c>
      <c r="L62">
        <f t="shared" si="1"/>
        <v>2</v>
      </c>
    </row>
    <row r="63" spans="1:12" x14ac:dyDescent="0.25">
      <c r="A63">
        <v>61</v>
      </c>
      <c r="B63" t="str">
        <f>VLOOKUP(D63,Ngan_hang_cau_hoi!$B$2:$K$142,10,0)</f>
        <v>Chương 1</v>
      </c>
      <c r="C63" t="str">
        <f>VLOOKUP(D63,Ngan_hang_cau_hoi!$B$2:$K$142,9,0)</f>
        <v>Dễ</v>
      </c>
      <c r="D63">
        <f t="shared" si="0"/>
        <v>13</v>
      </c>
      <c r="F63" t="str">
        <f>IF(L63=2,COUNTIF($L$1:L63,2),"")</f>
        <v/>
      </c>
      <c r="G63" t="str">
        <f>VLOOKUP(D63,Ngan_hang_cau_hoi!$B$2:$K$142,L63,0)</f>
        <v>L1</v>
      </c>
      <c r="H63" t="str">
        <f>IFERROR(VLOOKUP(J63,Ngan_hang_cau_hoi!$I$2:$L$142,4,0),"")</f>
        <v>A</v>
      </c>
      <c r="J63" t="str">
        <f>IF(VLOOKUP(D63,Ngan_hang_cau_hoi!$B$2:$K$142,8,0)=G63,G63,"")</f>
        <v>L1</v>
      </c>
      <c r="L63">
        <f t="shared" si="1"/>
        <v>3</v>
      </c>
    </row>
    <row r="64" spans="1:12" x14ac:dyDescent="0.25">
      <c r="A64">
        <v>62</v>
      </c>
      <c r="B64" t="str">
        <f>VLOOKUP(D64,Ngan_hang_cau_hoi!$B$2:$K$142,10,0)</f>
        <v>Chương 1</v>
      </c>
      <c r="C64" t="str">
        <f>VLOOKUP(D64,Ngan_hang_cau_hoi!$B$2:$K$142,9,0)</f>
        <v>Dễ</v>
      </c>
      <c r="D64">
        <f t="shared" si="0"/>
        <v>13</v>
      </c>
      <c r="F64" t="str">
        <f>IF(L64=2,COUNTIF($L$1:L64,2),"")</f>
        <v/>
      </c>
      <c r="G64" t="str">
        <f>VLOOKUP(D64,Ngan_hang_cau_hoi!$B$2:$K$142,L64,0)</f>
        <v>L2</v>
      </c>
      <c r="H64" t="str">
        <f>IFERROR(VLOOKUP(J64,Ngan_hang_cau_hoi!$I$2:$L$142,4,0),"")</f>
        <v/>
      </c>
      <c r="J64" t="str">
        <f>IF(VLOOKUP(D64,Ngan_hang_cau_hoi!$B$2:$K$142,8,0)=G64,G64,"")</f>
        <v/>
      </c>
      <c r="L64">
        <f t="shared" si="1"/>
        <v>4</v>
      </c>
    </row>
    <row r="65" spans="1:12" x14ac:dyDescent="0.25">
      <c r="A65">
        <v>63</v>
      </c>
      <c r="B65" t="str">
        <f>VLOOKUP(D65,Ngan_hang_cau_hoi!$B$2:$K$142,10,0)</f>
        <v>Chương 1</v>
      </c>
      <c r="C65" t="str">
        <f>VLOOKUP(D65,Ngan_hang_cau_hoi!$B$2:$K$142,9,0)</f>
        <v>Dễ</v>
      </c>
      <c r="D65">
        <f t="shared" si="0"/>
        <v>13</v>
      </c>
      <c r="F65" t="str">
        <f>IF(L65=2,COUNTIF($L$1:L65,2),"")</f>
        <v/>
      </c>
      <c r="G65" t="str">
        <f>VLOOKUP(D65,Ngan_hang_cau_hoi!$B$2:$K$142,L65,0)</f>
        <v>L3</v>
      </c>
      <c r="H65" t="str">
        <f>IFERROR(VLOOKUP(J65,Ngan_hang_cau_hoi!$I$2:$L$142,4,0),"")</f>
        <v/>
      </c>
      <c r="J65" t="str">
        <f>IF(VLOOKUP(D65,Ngan_hang_cau_hoi!$B$2:$K$142,8,0)=G65,G65,"")</f>
        <v/>
      </c>
      <c r="L65">
        <f t="shared" si="1"/>
        <v>5</v>
      </c>
    </row>
    <row r="66" spans="1:12" x14ac:dyDescent="0.25">
      <c r="A66">
        <v>64</v>
      </c>
      <c r="B66" t="str">
        <f>VLOOKUP(D66,Ngan_hang_cau_hoi!$B$2:$K$142,10,0)</f>
        <v>Chương 1</v>
      </c>
      <c r="C66" t="str">
        <f>VLOOKUP(D66,Ngan_hang_cau_hoi!$B$2:$K$142,9,0)</f>
        <v>Dễ</v>
      </c>
      <c r="D66">
        <f t="shared" si="0"/>
        <v>13</v>
      </c>
      <c r="F66" t="str">
        <f>IF(L66=2,COUNTIF($L$1:L66,2),"")</f>
        <v/>
      </c>
      <c r="G66" t="str">
        <f>VLOOKUP(D66,Ngan_hang_cau_hoi!$B$2:$K$142,L66,0)</f>
        <v>Như nhau, chỉ khác về dung lượng</v>
      </c>
      <c r="H66" t="str">
        <f>IFERROR(VLOOKUP(J66,Ngan_hang_cau_hoi!$I$2:$L$142,4,0),"")</f>
        <v/>
      </c>
      <c r="J66" t="str">
        <f>IF(VLOOKUP(D66,Ngan_hang_cau_hoi!$B$2:$K$142,8,0)=G66,G66,"")</f>
        <v/>
      </c>
      <c r="L66">
        <f t="shared" si="1"/>
        <v>6</v>
      </c>
    </row>
    <row r="67" spans="1:12" x14ac:dyDescent="0.25">
      <c r="A67">
        <v>65</v>
      </c>
      <c r="B67" t="str">
        <f>VLOOKUP(D67,Ngan_hang_cau_hoi!$B$2:$K$142,10,0)</f>
        <v>Chương 1</v>
      </c>
      <c r="C67" t="str">
        <f>VLOOKUP(D67,Ngan_hang_cau_hoi!$B$2:$K$142,9,0)</f>
        <v>Trung bình</v>
      </c>
      <c r="D67">
        <f t="shared" ref="D67:D130" si="2">INT(A67/5)+1</f>
        <v>14</v>
      </c>
      <c r="F67">
        <f>IF(L67=2,COUNTIF($L$1:L67,2),"")</f>
        <v>14</v>
      </c>
      <c r="G67" t="str">
        <f>VLOOKUP(D67,Ngan_hang_cau_hoi!$B$2:$K$142,L67,0)</f>
        <v>Thông tin “Intel® Core™ i9-8950HK, 4.80 GHz, 12 MB Intel® Smart Cache” mô tả:</v>
      </c>
      <c r="H67" t="str">
        <f>IFERROR(VLOOKUP(J67,Ngan_hang_cau_hoi!$I$2:$L$142,4,0),"")</f>
        <v/>
      </c>
      <c r="J67" t="str">
        <f>IF(VLOOKUP(D67,Ngan_hang_cau_hoi!$B$2:$K$142,8,0)=G67,G67,"")</f>
        <v/>
      </c>
      <c r="L67">
        <f t="shared" ref="L67:L130" si="3">IF(L66=6,2,L66+1)</f>
        <v>2</v>
      </c>
    </row>
    <row r="68" spans="1:12" x14ac:dyDescent="0.25">
      <c r="A68">
        <v>66</v>
      </c>
      <c r="B68" t="str">
        <f>VLOOKUP(D68,Ngan_hang_cau_hoi!$B$2:$K$142,10,0)</f>
        <v>Chương 1</v>
      </c>
      <c r="C68" t="str">
        <f>VLOOKUP(D68,Ngan_hang_cau_hoi!$B$2:$K$142,9,0)</f>
        <v>Trung bình</v>
      </c>
      <c r="D68">
        <f t="shared" si="2"/>
        <v>14</v>
      </c>
      <c r="F68" t="str">
        <f>IF(L68=2,COUNTIF($L$1:L68,2),"")</f>
        <v/>
      </c>
      <c r="G68" t="str">
        <f>VLOOKUP(D68,Ngan_hang_cau_hoi!$B$2:$K$142,L68,0)</f>
        <v>Bộ nhớ cache L1 là 12 MB</v>
      </c>
      <c r="H68" t="str">
        <f>IFERROR(VLOOKUP(J68,Ngan_hang_cau_hoi!$I$2:$L$142,4,0),"")</f>
        <v/>
      </c>
      <c r="J68" t="str">
        <f>IF(VLOOKUP(D68,Ngan_hang_cau_hoi!$B$2:$K$142,8,0)=G68,G68,"")</f>
        <v/>
      </c>
      <c r="L68">
        <f t="shared" si="3"/>
        <v>3</v>
      </c>
    </row>
    <row r="69" spans="1:12" x14ac:dyDescent="0.25">
      <c r="A69">
        <v>67</v>
      </c>
      <c r="B69" t="str">
        <f>VLOOKUP(D69,Ngan_hang_cau_hoi!$B$2:$K$142,10,0)</f>
        <v>Chương 1</v>
      </c>
      <c r="C69" t="str">
        <f>VLOOKUP(D69,Ngan_hang_cau_hoi!$B$2:$K$142,9,0)</f>
        <v>Trung bình</v>
      </c>
      <c r="D69">
        <f t="shared" si="2"/>
        <v>14</v>
      </c>
      <c r="F69" t="str">
        <f>IF(L69=2,COUNTIF($L$1:L69,2),"")</f>
        <v/>
      </c>
      <c r="G69" t="str">
        <f>VLOOKUP(D69,Ngan_hang_cau_hoi!$B$2:$K$142,L69,0)</f>
        <v>Bộ nhớ cache L2 là 12 MB</v>
      </c>
      <c r="H69" t="str">
        <f>IFERROR(VLOOKUP(J69,Ngan_hang_cau_hoi!$I$2:$L$142,4,0),"")</f>
        <v/>
      </c>
      <c r="J69" t="str">
        <f>IF(VLOOKUP(D69,Ngan_hang_cau_hoi!$B$2:$K$142,8,0)=G69,G69,"")</f>
        <v/>
      </c>
      <c r="L69">
        <f t="shared" si="3"/>
        <v>4</v>
      </c>
    </row>
    <row r="70" spans="1:12" x14ac:dyDescent="0.25">
      <c r="A70">
        <v>68</v>
      </c>
      <c r="B70" t="str">
        <f>VLOOKUP(D70,Ngan_hang_cau_hoi!$B$2:$K$142,10,0)</f>
        <v>Chương 1</v>
      </c>
      <c r="C70" t="str">
        <f>VLOOKUP(D70,Ngan_hang_cau_hoi!$B$2:$K$142,9,0)</f>
        <v>Trung bình</v>
      </c>
      <c r="D70">
        <f t="shared" si="2"/>
        <v>14</v>
      </c>
      <c r="F70" t="str">
        <f>IF(L70=2,COUNTIF($L$1:L70,2),"")</f>
        <v/>
      </c>
      <c r="G70" t="str">
        <f>VLOOKUP(D70,Ngan_hang_cau_hoi!$B$2:$K$142,L70,0)</f>
        <v>Bộ nhớ cache L3 là 12 MB</v>
      </c>
      <c r="H70" t="str">
        <f>IFERROR(VLOOKUP(J70,Ngan_hang_cau_hoi!$I$2:$L$142,4,0),"")</f>
        <v>C</v>
      </c>
      <c r="J70" t="str">
        <f>IF(VLOOKUP(D70,Ngan_hang_cau_hoi!$B$2:$K$142,8,0)=G70,G70,"")</f>
        <v>Bộ nhớ cache L3 là 12 MB</v>
      </c>
      <c r="L70">
        <f t="shared" si="3"/>
        <v>5</v>
      </c>
    </row>
    <row r="71" spans="1:12" x14ac:dyDescent="0.25">
      <c r="A71">
        <v>69</v>
      </c>
      <c r="B71" t="str">
        <f>VLOOKUP(D71,Ngan_hang_cau_hoi!$B$2:$K$142,10,0)</f>
        <v>Chương 1</v>
      </c>
      <c r="C71" t="str">
        <f>VLOOKUP(D71,Ngan_hang_cau_hoi!$B$2:$K$142,9,0)</f>
        <v>Trung bình</v>
      </c>
      <c r="D71">
        <f t="shared" si="2"/>
        <v>14</v>
      </c>
      <c r="F71" t="str">
        <f>IF(L71=2,COUNTIF($L$1:L71,2),"")</f>
        <v/>
      </c>
      <c r="G71" t="str">
        <f>VLOOKUP(D71,Ngan_hang_cau_hoi!$B$2:$K$142,L71,0)</f>
        <v>Bộ nhớ cache L1+L2+L3 là 12 MB</v>
      </c>
      <c r="H71" t="str">
        <f>IFERROR(VLOOKUP(J71,Ngan_hang_cau_hoi!$I$2:$L$142,4,0),"")</f>
        <v/>
      </c>
      <c r="J71" t="str">
        <f>IF(VLOOKUP(D71,Ngan_hang_cau_hoi!$B$2:$K$142,8,0)=G71,G71,"")</f>
        <v/>
      </c>
      <c r="L71">
        <f t="shared" si="3"/>
        <v>6</v>
      </c>
    </row>
    <row r="72" spans="1:12" x14ac:dyDescent="0.25">
      <c r="A72">
        <v>70</v>
      </c>
      <c r="B72" t="str">
        <f>VLOOKUP(D72,Ngan_hang_cau_hoi!$B$2:$K$142,10,0)</f>
        <v>Chương 1</v>
      </c>
      <c r="C72" t="str">
        <f>VLOOKUP(D72,Ngan_hang_cau_hoi!$B$2:$K$142,9,0)</f>
        <v>Trung bình</v>
      </c>
      <c r="D72">
        <f t="shared" si="2"/>
        <v>15</v>
      </c>
      <c r="F72">
        <f>IF(L72=2,COUNTIF($L$1:L72,2),"")</f>
        <v>15</v>
      </c>
      <c r="G72" t="str">
        <f>VLOOKUP(D72,Ngan_hang_cau_hoi!$B$2:$K$142,L72,0)</f>
        <v>Thông tin “Intel® Core™ i9-8950HK, 4.80 GHz, 12 MB Intel® Smart Cache” mô tả:</v>
      </c>
      <c r="H72" t="str">
        <f>IFERROR(VLOOKUP(J72,Ngan_hang_cau_hoi!$I$2:$L$142,4,0),"")</f>
        <v/>
      </c>
      <c r="J72" t="str">
        <f>IF(VLOOKUP(D72,Ngan_hang_cau_hoi!$B$2:$K$142,8,0)=G72,G72,"")</f>
        <v/>
      </c>
      <c r="L72">
        <f t="shared" si="3"/>
        <v>2</v>
      </c>
    </row>
    <row r="73" spans="1:12" x14ac:dyDescent="0.25">
      <c r="A73">
        <v>71</v>
      </c>
      <c r="B73" t="str">
        <f>VLOOKUP(D73,Ngan_hang_cau_hoi!$B$2:$K$142,10,0)</f>
        <v>Chương 1</v>
      </c>
      <c r="C73" t="str">
        <f>VLOOKUP(D73,Ngan_hang_cau_hoi!$B$2:$K$142,9,0)</f>
        <v>Trung bình</v>
      </c>
      <c r="D73">
        <f t="shared" si="2"/>
        <v>15</v>
      </c>
      <c r="F73" t="str">
        <f>IF(L73=2,COUNTIF($L$1:L73,2),"")</f>
        <v/>
      </c>
      <c r="G73" t="str">
        <f>VLOOKUP(D73,Ngan_hang_cau_hoi!$B$2:$K$142,L73,0)</f>
        <v>thế hệ thứ 8</v>
      </c>
      <c r="H73" t="str">
        <f>IFERROR(VLOOKUP(J73,Ngan_hang_cau_hoi!$I$2:$L$142,4,0),"")</f>
        <v>A</v>
      </c>
      <c r="J73" t="str">
        <f>IF(VLOOKUP(D73,Ngan_hang_cau_hoi!$B$2:$K$142,8,0)=G73,G73,"")</f>
        <v>thế hệ thứ 8</v>
      </c>
      <c r="L73">
        <f t="shared" si="3"/>
        <v>3</v>
      </c>
    </row>
    <row r="74" spans="1:12" x14ac:dyDescent="0.25">
      <c r="A74">
        <v>72</v>
      </c>
      <c r="B74" t="str">
        <f>VLOOKUP(D74,Ngan_hang_cau_hoi!$B$2:$K$142,10,0)</f>
        <v>Chương 1</v>
      </c>
      <c r="C74" t="str">
        <f>VLOOKUP(D74,Ngan_hang_cau_hoi!$B$2:$K$142,9,0)</f>
        <v>Trung bình</v>
      </c>
      <c r="D74">
        <f t="shared" si="2"/>
        <v>15</v>
      </c>
      <c r="F74" t="str">
        <f>IF(L74=2,COUNTIF($L$1:L74,2),"")</f>
        <v/>
      </c>
      <c r="G74" t="str">
        <f>VLOOKUP(D74,Ngan_hang_cau_hoi!$B$2:$K$142,L74,0)</f>
        <v>thế hệ thứ 9</v>
      </c>
      <c r="H74" t="str">
        <f>IFERROR(VLOOKUP(J74,Ngan_hang_cau_hoi!$I$2:$L$142,4,0),"")</f>
        <v/>
      </c>
      <c r="J74" t="str">
        <f>IF(VLOOKUP(D74,Ngan_hang_cau_hoi!$B$2:$K$142,8,0)=G74,G74,"")</f>
        <v/>
      </c>
      <c r="L74">
        <f t="shared" si="3"/>
        <v>4</v>
      </c>
    </row>
    <row r="75" spans="1:12" x14ac:dyDescent="0.25">
      <c r="A75">
        <v>73</v>
      </c>
      <c r="B75" t="str">
        <f>VLOOKUP(D75,Ngan_hang_cau_hoi!$B$2:$K$142,10,0)</f>
        <v>Chương 1</v>
      </c>
      <c r="C75" t="str">
        <f>VLOOKUP(D75,Ngan_hang_cau_hoi!$B$2:$K$142,9,0)</f>
        <v>Trung bình</v>
      </c>
      <c r="D75">
        <f t="shared" si="2"/>
        <v>15</v>
      </c>
      <c r="F75" t="str">
        <f>IF(L75=2,COUNTIF($L$1:L75,2),"")</f>
        <v/>
      </c>
      <c r="G75" t="str">
        <f>VLOOKUP(D75,Ngan_hang_cau_hoi!$B$2:$K$142,L75,0)</f>
        <v>thế hệ thứ 12</v>
      </c>
      <c r="H75" t="str">
        <f>IFERROR(VLOOKUP(J75,Ngan_hang_cau_hoi!$I$2:$L$142,4,0),"")</f>
        <v/>
      </c>
      <c r="J75" t="str">
        <f>IF(VLOOKUP(D75,Ngan_hang_cau_hoi!$B$2:$K$142,8,0)=G75,G75,"")</f>
        <v/>
      </c>
      <c r="L75">
        <f t="shared" si="3"/>
        <v>5</v>
      </c>
    </row>
    <row r="76" spans="1:12" x14ac:dyDescent="0.25">
      <c r="A76">
        <v>74</v>
      </c>
      <c r="B76" t="str">
        <f>VLOOKUP(D76,Ngan_hang_cau_hoi!$B$2:$K$142,10,0)</f>
        <v>Chương 1</v>
      </c>
      <c r="C76" t="str">
        <f>VLOOKUP(D76,Ngan_hang_cau_hoi!$B$2:$K$142,9,0)</f>
        <v>Trung bình</v>
      </c>
      <c r="D76">
        <f t="shared" si="2"/>
        <v>15</v>
      </c>
      <c r="F76" t="str">
        <f>IF(L76=2,COUNTIF($L$1:L76,2),"")</f>
        <v/>
      </c>
      <c r="G76" t="str">
        <f>VLOOKUP(D76,Ngan_hang_cau_hoi!$B$2:$K$142,L76,0)</f>
        <v>CPU có 9 nhân</v>
      </c>
      <c r="H76" t="str">
        <f>IFERROR(VLOOKUP(J76,Ngan_hang_cau_hoi!$I$2:$L$142,4,0),"")</f>
        <v/>
      </c>
      <c r="J76" t="str">
        <f>IF(VLOOKUP(D76,Ngan_hang_cau_hoi!$B$2:$K$142,8,0)=G76,G76,"")</f>
        <v/>
      </c>
      <c r="L76">
        <f t="shared" si="3"/>
        <v>6</v>
      </c>
    </row>
    <row r="77" spans="1:12" x14ac:dyDescent="0.25">
      <c r="A77">
        <v>75</v>
      </c>
      <c r="B77" t="str">
        <f>VLOOKUP(D77,Ngan_hang_cau_hoi!$B$2:$K$142,10,0)</f>
        <v>Chương 1</v>
      </c>
      <c r="C77" t="str">
        <f>VLOOKUP(D77,Ngan_hang_cau_hoi!$B$2:$K$142,9,0)</f>
        <v>trung bình</v>
      </c>
      <c r="D77">
        <f t="shared" si="2"/>
        <v>16</v>
      </c>
      <c r="F77">
        <f>IF(L77=2,COUNTIF($L$1:L77,2),"")</f>
        <v>16</v>
      </c>
      <c r="G77" t="str">
        <f>VLOOKUP(D77,Ngan_hang_cau_hoi!$B$2:$K$142,L77,0)</f>
        <v>Thông số Dual Channel RAM giúp:</v>
      </c>
      <c r="H77" t="str">
        <f>IFERROR(VLOOKUP(J77,Ngan_hang_cau_hoi!$I$2:$L$142,4,0),"")</f>
        <v/>
      </c>
      <c r="J77" t="str">
        <f>IF(VLOOKUP(D77,Ngan_hang_cau_hoi!$B$2:$K$142,8,0)=G77,G77,"")</f>
        <v/>
      </c>
      <c r="L77">
        <f t="shared" si="3"/>
        <v>2</v>
      </c>
    </row>
    <row r="78" spans="1:12" x14ac:dyDescent="0.25">
      <c r="A78">
        <v>76</v>
      </c>
      <c r="B78" t="str">
        <f>VLOOKUP(D78,Ngan_hang_cau_hoi!$B$2:$K$142,10,0)</f>
        <v>Chương 1</v>
      </c>
      <c r="C78" t="str">
        <f>VLOOKUP(D78,Ngan_hang_cau_hoi!$B$2:$K$142,9,0)</f>
        <v>trung bình</v>
      </c>
      <c r="D78">
        <f t="shared" si="2"/>
        <v>16</v>
      </c>
      <c r="F78" t="str">
        <f>IF(L78=2,COUNTIF($L$1:L78,2),"")</f>
        <v/>
      </c>
      <c r="G78" t="str">
        <f>VLOOKUP(D78,Ngan_hang_cau_hoi!$B$2:$K$142,L78,0)</f>
        <v>tăng dung lượng ổ cứng</v>
      </c>
      <c r="H78" t="str">
        <f>IFERROR(VLOOKUP(J78,Ngan_hang_cau_hoi!$I$2:$L$142,4,0),"")</f>
        <v/>
      </c>
      <c r="J78" t="str">
        <f>IF(VLOOKUP(D78,Ngan_hang_cau_hoi!$B$2:$K$142,8,0)=G78,G78,"")</f>
        <v/>
      </c>
      <c r="L78">
        <f t="shared" si="3"/>
        <v>3</v>
      </c>
    </row>
    <row r="79" spans="1:12" x14ac:dyDescent="0.25">
      <c r="A79">
        <v>77</v>
      </c>
      <c r="B79" t="str">
        <f>VLOOKUP(D79,Ngan_hang_cau_hoi!$B$2:$K$142,10,0)</f>
        <v>Chương 1</v>
      </c>
      <c r="C79" t="str">
        <f>VLOOKUP(D79,Ngan_hang_cau_hoi!$B$2:$K$142,9,0)</f>
        <v>trung bình</v>
      </c>
      <c r="D79">
        <f t="shared" si="2"/>
        <v>16</v>
      </c>
      <c r="F79" t="str">
        <f>IF(L79=2,COUNTIF($L$1:L79,2),"")</f>
        <v/>
      </c>
      <c r="G79" t="str">
        <f>VLOOKUP(D79,Ngan_hang_cau_hoi!$B$2:$K$142,L79,0)</f>
        <v>tăng số nhân CPU</v>
      </c>
      <c r="H79" t="str">
        <f>IFERROR(VLOOKUP(J79,Ngan_hang_cau_hoi!$I$2:$L$142,4,0),"")</f>
        <v/>
      </c>
      <c r="J79" t="str">
        <f>IF(VLOOKUP(D79,Ngan_hang_cau_hoi!$B$2:$K$142,8,0)=G79,G79,"")</f>
        <v/>
      </c>
      <c r="L79">
        <f t="shared" si="3"/>
        <v>4</v>
      </c>
    </row>
    <row r="80" spans="1:12" x14ac:dyDescent="0.25">
      <c r="A80">
        <v>78</v>
      </c>
      <c r="B80" t="str">
        <f>VLOOKUP(D80,Ngan_hang_cau_hoi!$B$2:$K$142,10,0)</f>
        <v>Chương 1</v>
      </c>
      <c r="C80" t="str">
        <f>VLOOKUP(D80,Ngan_hang_cau_hoi!$B$2:$K$142,9,0)</f>
        <v>trung bình</v>
      </c>
      <c r="D80">
        <f t="shared" si="2"/>
        <v>16</v>
      </c>
      <c r="F80" t="str">
        <f>IF(L80=2,COUNTIF($L$1:L80,2),"")</f>
        <v/>
      </c>
      <c r="G80" t="str">
        <f>VLOOKUP(D80,Ngan_hang_cau_hoi!$B$2:$K$142,L80,0)</f>
        <v>tăng băng thông truy cập bộ nhớ</v>
      </c>
      <c r="H80" t="str">
        <f>IFERROR(VLOOKUP(J80,Ngan_hang_cau_hoi!$I$2:$L$142,4,0),"")</f>
        <v>C</v>
      </c>
      <c r="J80" t="str">
        <f>IF(VLOOKUP(D80,Ngan_hang_cau_hoi!$B$2:$K$142,8,0)=G80,G80,"")</f>
        <v>tăng băng thông truy cập bộ nhớ</v>
      </c>
      <c r="L80">
        <f t="shared" si="3"/>
        <v>5</v>
      </c>
    </row>
    <row r="81" spans="1:12" x14ac:dyDescent="0.25">
      <c r="A81">
        <v>79</v>
      </c>
      <c r="B81" t="str">
        <f>VLOOKUP(D81,Ngan_hang_cau_hoi!$B$2:$K$142,10,0)</f>
        <v>Chương 1</v>
      </c>
      <c r="C81" t="str">
        <f>VLOOKUP(D81,Ngan_hang_cau_hoi!$B$2:$K$142,9,0)</f>
        <v>trung bình</v>
      </c>
      <c r="D81">
        <f t="shared" si="2"/>
        <v>16</v>
      </c>
      <c r="F81" t="str">
        <f>IF(L81=2,COUNTIF($L$1:L81,2),"")</f>
        <v/>
      </c>
      <c r="G81" t="str">
        <f>VLOOKUP(D81,Ngan_hang_cau_hoi!$B$2:$K$142,L81,0)</f>
        <v>tăng dung lượng cache</v>
      </c>
      <c r="H81" t="str">
        <f>IFERROR(VLOOKUP(J81,Ngan_hang_cau_hoi!$I$2:$L$142,4,0),"")</f>
        <v/>
      </c>
      <c r="J81" t="str">
        <f>IF(VLOOKUP(D81,Ngan_hang_cau_hoi!$B$2:$K$142,8,0)=G81,G81,"")</f>
        <v/>
      </c>
      <c r="L81">
        <f t="shared" si="3"/>
        <v>6</v>
      </c>
    </row>
    <row r="82" spans="1:12" x14ac:dyDescent="0.25">
      <c r="A82">
        <v>80</v>
      </c>
      <c r="B82" t="str">
        <f>VLOOKUP(D82,Ngan_hang_cau_hoi!$B$2:$K$142,10,0)</f>
        <v>Chương 1</v>
      </c>
      <c r="C82" t="str">
        <f>VLOOKUP(D82,Ngan_hang_cau_hoi!$B$2:$K$142,9,0)</f>
        <v>Trung bình</v>
      </c>
      <c r="D82">
        <f t="shared" si="2"/>
        <v>17</v>
      </c>
      <c r="F82">
        <f>IF(L82=2,COUNTIF($L$1:L82,2),"")</f>
        <v>17</v>
      </c>
      <c r="G82" t="str">
        <f>VLOOKUP(D82,Ngan_hang_cau_hoi!$B$2:$K$142,L82,0)</f>
        <v>Sử dụng 2 thanh RAM cùng loại, khác bus nhưng khi lắp đặt vào bo mạch chủ thì:</v>
      </c>
      <c r="H82" t="str">
        <f>IFERROR(VLOOKUP(J82,Ngan_hang_cau_hoi!$I$2:$L$142,4,0),"")</f>
        <v/>
      </c>
      <c r="J82" t="str">
        <f>IF(VLOOKUP(D82,Ngan_hang_cau_hoi!$B$2:$K$142,8,0)=G82,G82,"")</f>
        <v/>
      </c>
      <c r="L82">
        <f t="shared" si="3"/>
        <v>2</v>
      </c>
    </row>
    <row r="83" spans="1:12" x14ac:dyDescent="0.25">
      <c r="A83">
        <v>81</v>
      </c>
      <c r="B83" t="str">
        <f>VLOOKUP(D83,Ngan_hang_cau_hoi!$B$2:$K$142,10,0)</f>
        <v>Chương 1</v>
      </c>
      <c r="C83" t="str">
        <f>VLOOKUP(D83,Ngan_hang_cau_hoi!$B$2:$K$142,9,0)</f>
        <v>Trung bình</v>
      </c>
      <c r="D83">
        <f t="shared" si="2"/>
        <v>17</v>
      </c>
      <c r="F83" t="str">
        <f>IF(L83=2,COUNTIF($L$1:L83,2),"")</f>
        <v/>
      </c>
      <c r="G83" t="str">
        <f>VLOOKUP(D83,Ngan_hang_cau_hoi!$B$2:$K$142,L83,0)</f>
        <v>chạy theo bus thấp hơn</v>
      </c>
      <c r="H83" t="str">
        <f>IFERROR(VLOOKUP(J83,Ngan_hang_cau_hoi!$I$2:$L$142,4,0),"")</f>
        <v>A</v>
      </c>
      <c r="J83" t="str">
        <f>IF(VLOOKUP(D83,Ngan_hang_cau_hoi!$B$2:$K$142,8,0)=G83,G83,"")</f>
        <v>chạy theo bus thấp hơn</v>
      </c>
      <c r="L83">
        <f t="shared" si="3"/>
        <v>3</v>
      </c>
    </row>
    <row r="84" spans="1:12" x14ac:dyDescent="0.25">
      <c r="A84">
        <v>82</v>
      </c>
      <c r="B84" t="str">
        <f>VLOOKUP(D84,Ngan_hang_cau_hoi!$B$2:$K$142,10,0)</f>
        <v>Chương 1</v>
      </c>
      <c r="C84" t="str">
        <f>VLOOKUP(D84,Ngan_hang_cau_hoi!$B$2:$K$142,9,0)</f>
        <v>Trung bình</v>
      </c>
      <c r="D84">
        <f t="shared" si="2"/>
        <v>17</v>
      </c>
      <c r="F84" t="str">
        <f>IF(L84=2,COUNTIF($L$1:L84,2),"")</f>
        <v/>
      </c>
      <c r="G84" t="str">
        <f>VLOOKUP(D84,Ngan_hang_cau_hoi!$B$2:$K$142,L84,0)</f>
        <v>chạy bus cao hơn</v>
      </c>
      <c r="H84" t="str">
        <f>IFERROR(VLOOKUP(J84,Ngan_hang_cau_hoi!$I$2:$L$142,4,0),"")</f>
        <v/>
      </c>
      <c r="J84" t="str">
        <f>IF(VLOOKUP(D84,Ngan_hang_cau_hoi!$B$2:$K$142,8,0)=G84,G84,"")</f>
        <v/>
      </c>
      <c r="L84">
        <f t="shared" si="3"/>
        <v>4</v>
      </c>
    </row>
    <row r="85" spans="1:12" x14ac:dyDescent="0.25">
      <c r="A85">
        <v>83</v>
      </c>
      <c r="B85" t="str">
        <f>VLOOKUP(D85,Ngan_hang_cau_hoi!$B$2:$K$142,10,0)</f>
        <v>Chương 1</v>
      </c>
      <c r="C85" t="str">
        <f>VLOOKUP(D85,Ngan_hang_cau_hoi!$B$2:$K$142,9,0)</f>
        <v>Trung bình</v>
      </c>
      <c r="D85">
        <f t="shared" si="2"/>
        <v>17</v>
      </c>
      <c r="F85" t="str">
        <f>IF(L85=2,COUNTIF($L$1:L85,2),"")</f>
        <v/>
      </c>
      <c r="G85" t="str">
        <f>VLOOKUP(D85,Ngan_hang_cau_hoi!$B$2:$K$142,L85,0)</f>
        <v>không nhận RAM</v>
      </c>
      <c r="H85" t="str">
        <f>IFERROR(VLOOKUP(J85,Ngan_hang_cau_hoi!$I$2:$L$142,4,0),"")</f>
        <v/>
      </c>
      <c r="J85" t="str">
        <f>IF(VLOOKUP(D85,Ngan_hang_cau_hoi!$B$2:$K$142,8,0)=G85,G85,"")</f>
        <v/>
      </c>
      <c r="L85">
        <f t="shared" si="3"/>
        <v>5</v>
      </c>
    </row>
    <row r="86" spans="1:12" x14ac:dyDescent="0.25">
      <c r="A86">
        <v>84</v>
      </c>
      <c r="B86" t="str">
        <f>VLOOKUP(D86,Ngan_hang_cau_hoi!$B$2:$K$142,10,0)</f>
        <v>Chương 1</v>
      </c>
      <c r="C86" t="str">
        <f>VLOOKUP(D86,Ngan_hang_cau_hoi!$B$2:$K$142,9,0)</f>
        <v>Trung bình</v>
      </c>
      <c r="D86">
        <f t="shared" si="2"/>
        <v>17</v>
      </c>
      <c r="F86" t="str">
        <f>IF(L86=2,COUNTIF($L$1:L86,2),"")</f>
        <v/>
      </c>
      <c r="G86" t="str">
        <f>VLOOKUP(D86,Ngan_hang_cau_hoi!$B$2:$K$142,L86,0)</f>
        <v>chạy bus bằng trung bình của 2 RAM</v>
      </c>
      <c r="H86" t="str">
        <f>IFERROR(VLOOKUP(J86,Ngan_hang_cau_hoi!$I$2:$L$142,4,0),"")</f>
        <v/>
      </c>
      <c r="J86" t="str">
        <f>IF(VLOOKUP(D86,Ngan_hang_cau_hoi!$B$2:$K$142,8,0)=G86,G86,"")</f>
        <v/>
      </c>
      <c r="L86">
        <f t="shared" si="3"/>
        <v>6</v>
      </c>
    </row>
    <row r="87" spans="1:12" x14ac:dyDescent="0.25">
      <c r="A87">
        <v>85</v>
      </c>
      <c r="B87" t="str">
        <f>VLOOKUP(D87,Ngan_hang_cau_hoi!$B$2:$K$142,10,0)</f>
        <v>Chương 1</v>
      </c>
      <c r="C87" t="str">
        <f>VLOOKUP(D87,Ngan_hang_cau_hoi!$B$2:$K$142,9,0)</f>
        <v>Trung bình</v>
      </c>
      <c r="D87">
        <f t="shared" si="2"/>
        <v>18</v>
      </c>
      <c r="F87">
        <f>IF(L87=2,COUNTIF($L$1:L87,2),"")</f>
        <v>18</v>
      </c>
      <c r="G87" t="str">
        <f>VLOOKUP(D87,Ngan_hang_cau_hoi!$B$2:$K$142,L87,0)</f>
        <v>Socket AM4 dùng cho CPU hãng nào?</v>
      </c>
      <c r="H87" t="str">
        <f>IFERROR(VLOOKUP(J87,Ngan_hang_cau_hoi!$I$2:$L$142,4,0),"")</f>
        <v/>
      </c>
      <c r="J87" t="str">
        <f>IF(VLOOKUP(D87,Ngan_hang_cau_hoi!$B$2:$K$142,8,0)=G87,G87,"")</f>
        <v/>
      </c>
      <c r="L87">
        <f t="shared" si="3"/>
        <v>2</v>
      </c>
    </row>
    <row r="88" spans="1:12" x14ac:dyDescent="0.25">
      <c r="A88">
        <v>86</v>
      </c>
      <c r="B88" t="str">
        <f>VLOOKUP(D88,Ngan_hang_cau_hoi!$B$2:$K$142,10,0)</f>
        <v>Chương 1</v>
      </c>
      <c r="C88" t="str">
        <f>VLOOKUP(D88,Ngan_hang_cau_hoi!$B$2:$K$142,9,0)</f>
        <v>Trung bình</v>
      </c>
      <c r="D88">
        <f t="shared" si="2"/>
        <v>18</v>
      </c>
      <c r="F88" t="str">
        <f>IF(L88=2,COUNTIF($L$1:L88,2),"")</f>
        <v/>
      </c>
      <c r="G88" t="str">
        <f>VLOOKUP(D88,Ngan_hang_cau_hoi!$B$2:$K$142,L88,0)</f>
        <v>Intel</v>
      </c>
      <c r="H88" t="str">
        <f>IFERROR(VLOOKUP(J88,Ngan_hang_cau_hoi!$I$2:$L$142,4,0),"")</f>
        <v/>
      </c>
      <c r="J88" t="str">
        <f>IF(VLOOKUP(D88,Ngan_hang_cau_hoi!$B$2:$K$142,8,0)=G88,G88,"")</f>
        <v/>
      </c>
      <c r="L88">
        <f t="shared" si="3"/>
        <v>3</v>
      </c>
    </row>
    <row r="89" spans="1:12" x14ac:dyDescent="0.25">
      <c r="A89">
        <v>87</v>
      </c>
      <c r="B89" t="str">
        <f>VLOOKUP(D89,Ngan_hang_cau_hoi!$B$2:$K$142,10,0)</f>
        <v>Chương 1</v>
      </c>
      <c r="C89" t="str">
        <f>VLOOKUP(D89,Ngan_hang_cau_hoi!$B$2:$K$142,9,0)</f>
        <v>Trung bình</v>
      </c>
      <c r="D89">
        <f t="shared" si="2"/>
        <v>18</v>
      </c>
      <c r="F89" t="str">
        <f>IF(L89=2,COUNTIF($L$1:L89,2),"")</f>
        <v/>
      </c>
      <c r="G89" t="str">
        <f>VLOOKUP(D89,Ngan_hang_cau_hoi!$B$2:$K$142,L89,0)</f>
        <v>AMD</v>
      </c>
      <c r="H89" t="str">
        <f>IFERROR(VLOOKUP(J89,Ngan_hang_cau_hoi!$I$2:$L$142,4,0),"")</f>
        <v>B</v>
      </c>
      <c r="J89" t="str">
        <f>IF(VLOOKUP(D89,Ngan_hang_cau_hoi!$B$2:$K$142,8,0)=G89,G89,"")</f>
        <v>AMD</v>
      </c>
      <c r="L89">
        <f t="shared" si="3"/>
        <v>4</v>
      </c>
    </row>
    <row r="90" spans="1:12" x14ac:dyDescent="0.25">
      <c r="A90">
        <v>88</v>
      </c>
      <c r="B90" t="str">
        <f>VLOOKUP(D90,Ngan_hang_cau_hoi!$B$2:$K$142,10,0)</f>
        <v>Chương 1</v>
      </c>
      <c r="C90" t="str">
        <f>VLOOKUP(D90,Ngan_hang_cau_hoi!$B$2:$K$142,9,0)</f>
        <v>Trung bình</v>
      </c>
      <c r="D90">
        <f t="shared" si="2"/>
        <v>18</v>
      </c>
      <c r="F90" t="str">
        <f>IF(L90=2,COUNTIF($L$1:L90,2),"")</f>
        <v/>
      </c>
      <c r="G90" t="str">
        <f>VLOOKUP(D90,Ngan_hang_cau_hoi!$B$2:$K$142,L90,0)</f>
        <v>Apple</v>
      </c>
      <c r="H90" t="str">
        <f>IFERROR(VLOOKUP(J90,Ngan_hang_cau_hoi!$I$2:$L$142,4,0),"")</f>
        <v/>
      </c>
      <c r="J90" t="str">
        <f>IF(VLOOKUP(D90,Ngan_hang_cau_hoi!$B$2:$K$142,8,0)=G90,G90,"")</f>
        <v/>
      </c>
      <c r="L90">
        <f t="shared" si="3"/>
        <v>5</v>
      </c>
    </row>
    <row r="91" spans="1:12" x14ac:dyDescent="0.25">
      <c r="A91">
        <v>89</v>
      </c>
      <c r="B91" t="str">
        <f>VLOOKUP(D91,Ngan_hang_cau_hoi!$B$2:$K$142,10,0)</f>
        <v>Chương 1</v>
      </c>
      <c r="C91" t="str">
        <f>VLOOKUP(D91,Ngan_hang_cau_hoi!$B$2:$K$142,9,0)</f>
        <v>Trung bình</v>
      </c>
      <c r="D91">
        <f t="shared" si="2"/>
        <v>18</v>
      </c>
      <c r="F91" t="str">
        <f>IF(L91=2,COUNTIF($L$1:L91,2),"")</f>
        <v/>
      </c>
      <c r="G91" t="str">
        <f>VLOOKUP(D91,Ngan_hang_cau_hoi!$B$2:$K$142,L91,0)</f>
        <v>Qualcomm</v>
      </c>
      <c r="H91" t="str">
        <f>IFERROR(VLOOKUP(J91,Ngan_hang_cau_hoi!$I$2:$L$142,4,0),"")</f>
        <v/>
      </c>
      <c r="J91" t="str">
        <f>IF(VLOOKUP(D91,Ngan_hang_cau_hoi!$B$2:$K$142,8,0)=G91,G91,"")</f>
        <v/>
      </c>
      <c r="L91">
        <f t="shared" si="3"/>
        <v>6</v>
      </c>
    </row>
    <row r="92" spans="1:12" x14ac:dyDescent="0.25">
      <c r="A92">
        <v>90</v>
      </c>
      <c r="B92" t="str">
        <f>VLOOKUP(D92,Ngan_hang_cau_hoi!$B$2:$K$142,10,0)</f>
        <v>Chương 1</v>
      </c>
      <c r="C92" t="str">
        <f>VLOOKUP(D92,Ngan_hang_cau_hoi!$B$2:$K$142,9,0)</f>
        <v>Trung bình</v>
      </c>
      <c r="D92">
        <f t="shared" si="2"/>
        <v>19</v>
      </c>
      <c r="F92">
        <f>IF(L92=2,COUNTIF($L$1:L92,2),"")</f>
        <v>19</v>
      </c>
      <c r="G92" t="str">
        <f>VLOOKUP(D92,Ngan_hang_cau_hoi!$B$2:$K$142,L92,0)</f>
        <v>SATA III có tốc độ tối đa lý thuyết bao nhiêu?</v>
      </c>
      <c r="H92" t="str">
        <f>IFERROR(VLOOKUP(J92,Ngan_hang_cau_hoi!$I$2:$L$142,4,0),"")</f>
        <v/>
      </c>
      <c r="J92" t="str">
        <f>IF(VLOOKUP(D92,Ngan_hang_cau_hoi!$B$2:$K$142,8,0)=G92,G92,"")</f>
        <v/>
      </c>
      <c r="L92">
        <f t="shared" si="3"/>
        <v>2</v>
      </c>
    </row>
    <row r="93" spans="1:12" x14ac:dyDescent="0.25">
      <c r="A93">
        <v>91</v>
      </c>
      <c r="B93" t="str">
        <f>VLOOKUP(D93,Ngan_hang_cau_hoi!$B$2:$K$142,10,0)</f>
        <v>Chương 1</v>
      </c>
      <c r="C93" t="str">
        <f>VLOOKUP(D93,Ngan_hang_cau_hoi!$B$2:$K$142,9,0)</f>
        <v>Trung bình</v>
      </c>
      <c r="D93">
        <f t="shared" si="2"/>
        <v>19</v>
      </c>
      <c r="F93" t="str">
        <f>IF(L93=2,COUNTIF($L$1:L93,2),"")</f>
        <v/>
      </c>
      <c r="G93" t="str">
        <f>VLOOKUP(D93,Ngan_hang_cau_hoi!$B$2:$K$142,L93,0)</f>
        <v>300 MB/s</v>
      </c>
      <c r="H93" t="str">
        <f>IFERROR(VLOOKUP(J93,Ngan_hang_cau_hoi!$I$2:$L$142,4,0),"")</f>
        <v/>
      </c>
      <c r="J93" t="str">
        <f>IF(VLOOKUP(D93,Ngan_hang_cau_hoi!$B$2:$K$142,8,0)=G93,G93,"")</f>
        <v/>
      </c>
      <c r="L93">
        <f t="shared" si="3"/>
        <v>3</v>
      </c>
    </row>
    <row r="94" spans="1:12" x14ac:dyDescent="0.25">
      <c r="A94">
        <v>92</v>
      </c>
      <c r="B94" t="str">
        <f>VLOOKUP(D94,Ngan_hang_cau_hoi!$B$2:$K$142,10,0)</f>
        <v>Chương 1</v>
      </c>
      <c r="C94" t="str">
        <f>VLOOKUP(D94,Ngan_hang_cau_hoi!$B$2:$K$142,9,0)</f>
        <v>Trung bình</v>
      </c>
      <c r="D94">
        <f t="shared" si="2"/>
        <v>19</v>
      </c>
      <c r="F94" t="str">
        <f>IF(L94=2,COUNTIF($L$1:L94,2),"")</f>
        <v/>
      </c>
      <c r="G94" t="str">
        <f>VLOOKUP(D94,Ngan_hang_cau_hoi!$B$2:$K$142,L94,0)</f>
        <v>600 MB/s</v>
      </c>
      <c r="H94" t="str">
        <f>IFERROR(VLOOKUP(J94,Ngan_hang_cau_hoi!$I$2:$L$142,4,0),"")</f>
        <v>B</v>
      </c>
      <c r="J94" t="str">
        <f>IF(VLOOKUP(D94,Ngan_hang_cau_hoi!$B$2:$K$142,8,0)=G94,G94,"")</f>
        <v>600 MB/s</v>
      </c>
      <c r="L94">
        <f t="shared" si="3"/>
        <v>4</v>
      </c>
    </row>
    <row r="95" spans="1:12" x14ac:dyDescent="0.25">
      <c r="A95">
        <v>93</v>
      </c>
      <c r="B95" t="str">
        <f>VLOOKUP(D95,Ngan_hang_cau_hoi!$B$2:$K$142,10,0)</f>
        <v>Chương 1</v>
      </c>
      <c r="C95" t="str">
        <f>VLOOKUP(D95,Ngan_hang_cau_hoi!$B$2:$K$142,9,0)</f>
        <v>Trung bình</v>
      </c>
      <c r="D95">
        <f t="shared" si="2"/>
        <v>19</v>
      </c>
      <c r="F95" t="str">
        <f>IF(L95=2,COUNTIF($L$1:L95,2),"")</f>
        <v/>
      </c>
      <c r="G95" t="str">
        <f>VLOOKUP(D95,Ngan_hang_cau_hoi!$B$2:$K$142,L95,0)</f>
        <v>1 GB/s</v>
      </c>
      <c r="H95" t="str">
        <f>IFERROR(VLOOKUP(J95,Ngan_hang_cau_hoi!$I$2:$L$142,4,0),"")</f>
        <v/>
      </c>
      <c r="J95" t="str">
        <f>IF(VLOOKUP(D95,Ngan_hang_cau_hoi!$B$2:$K$142,8,0)=G95,G95,"")</f>
        <v/>
      </c>
      <c r="L95">
        <f t="shared" si="3"/>
        <v>5</v>
      </c>
    </row>
    <row r="96" spans="1:12" x14ac:dyDescent="0.25">
      <c r="A96">
        <v>94</v>
      </c>
      <c r="B96" t="str">
        <f>VLOOKUP(D96,Ngan_hang_cau_hoi!$B$2:$K$142,10,0)</f>
        <v>Chương 1</v>
      </c>
      <c r="C96" t="str">
        <f>VLOOKUP(D96,Ngan_hang_cau_hoi!$B$2:$K$142,9,0)</f>
        <v>Trung bình</v>
      </c>
      <c r="D96">
        <f t="shared" si="2"/>
        <v>19</v>
      </c>
      <c r="F96" t="str">
        <f>IF(L96=2,COUNTIF($L$1:L96,2),"")</f>
        <v/>
      </c>
      <c r="G96" t="str">
        <f>VLOOKUP(D96,Ngan_hang_cau_hoi!$B$2:$K$142,L96,0)</f>
        <v>6 GB/s</v>
      </c>
      <c r="H96" t="str">
        <f>IFERROR(VLOOKUP(J96,Ngan_hang_cau_hoi!$I$2:$L$142,4,0),"")</f>
        <v/>
      </c>
      <c r="J96" t="str">
        <f>IF(VLOOKUP(D96,Ngan_hang_cau_hoi!$B$2:$K$142,8,0)=G96,G96,"")</f>
        <v/>
      </c>
      <c r="L96">
        <f t="shared" si="3"/>
        <v>6</v>
      </c>
    </row>
    <row r="97" spans="1:12" x14ac:dyDescent="0.25">
      <c r="A97">
        <v>95</v>
      </c>
      <c r="B97" t="str">
        <f>VLOOKUP(D97,Ngan_hang_cau_hoi!$B$2:$K$142,10,0)</f>
        <v>Chương 1</v>
      </c>
      <c r="C97" t="str">
        <f>VLOOKUP(D97,Ngan_hang_cau_hoi!$B$2:$K$142,9,0)</f>
        <v>Trung bình</v>
      </c>
      <c r="D97">
        <f t="shared" si="2"/>
        <v>20</v>
      </c>
      <c r="F97">
        <f>IF(L97=2,COUNTIF($L$1:L97,2),"")</f>
        <v>20</v>
      </c>
      <c r="G97" t="str">
        <f>VLOOKUP(D97,Ngan_hang_cau_hoi!$B$2:$K$142,L97,0)</f>
        <v>RAM bus cao hơn thường mang lại lợi ích gì?</v>
      </c>
      <c r="H97" t="str">
        <f>IFERROR(VLOOKUP(J97,Ngan_hang_cau_hoi!$I$2:$L$142,4,0),"")</f>
        <v/>
      </c>
      <c r="J97" t="str">
        <f>IF(VLOOKUP(D97,Ngan_hang_cau_hoi!$B$2:$K$142,8,0)=G97,G97,"")</f>
        <v/>
      </c>
      <c r="L97">
        <f t="shared" si="3"/>
        <v>2</v>
      </c>
    </row>
    <row r="98" spans="1:12" x14ac:dyDescent="0.25">
      <c r="A98">
        <v>96</v>
      </c>
      <c r="B98" t="str">
        <f>VLOOKUP(D98,Ngan_hang_cau_hoi!$B$2:$K$142,10,0)</f>
        <v>Chương 1</v>
      </c>
      <c r="C98" t="str">
        <f>VLOOKUP(D98,Ngan_hang_cau_hoi!$B$2:$K$142,9,0)</f>
        <v>Trung bình</v>
      </c>
      <c r="D98">
        <f t="shared" si="2"/>
        <v>20</v>
      </c>
      <c r="F98" t="str">
        <f>IF(L98=2,COUNTIF($L$1:L98,2),"")</f>
        <v/>
      </c>
      <c r="G98" t="str">
        <f>VLOOKUP(D98,Ngan_hang_cau_hoi!$B$2:$K$142,L98,0)</f>
        <v>Tăng tốc độ truyền dữ liệu</v>
      </c>
      <c r="H98" t="str">
        <f>IFERROR(VLOOKUP(J98,Ngan_hang_cau_hoi!$I$2:$L$142,4,0),"")</f>
        <v>A</v>
      </c>
      <c r="J98" t="str">
        <f>IF(VLOOKUP(D98,Ngan_hang_cau_hoi!$B$2:$K$142,8,0)=G98,G98,"")</f>
        <v>Tăng tốc độ truyền dữ liệu</v>
      </c>
      <c r="L98">
        <f t="shared" si="3"/>
        <v>3</v>
      </c>
    </row>
    <row r="99" spans="1:12" x14ac:dyDescent="0.25">
      <c r="A99">
        <v>97</v>
      </c>
      <c r="B99" t="str">
        <f>VLOOKUP(D99,Ngan_hang_cau_hoi!$B$2:$K$142,10,0)</f>
        <v>Chương 1</v>
      </c>
      <c r="C99" t="str">
        <f>VLOOKUP(D99,Ngan_hang_cau_hoi!$B$2:$K$142,9,0)</f>
        <v>Trung bình</v>
      </c>
      <c r="D99">
        <f t="shared" si="2"/>
        <v>20</v>
      </c>
      <c r="F99" t="str">
        <f>IF(L99=2,COUNTIF($L$1:L99,2),"")</f>
        <v/>
      </c>
      <c r="G99" t="str">
        <f>VLOOKUP(D99,Ngan_hang_cau_hoi!$B$2:$K$142,L99,0)</f>
        <v>Giảm dung lượng</v>
      </c>
      <c r="H99" t="str">
        <f>IFERROR(VLOOKUP(J99,Ngan_hang_cau_hoi!$I$2:$L$142,4,0),"")</f>
        <v/>
      </c>
      <c r="J99" t="str">
        <f>IF(VLOOKUP(D99,Ngan_hang_cau_hoi!$B$2:$K$142,8,0)=G99,G99,"")</f>
        <v/>
      </c>
      <c r="L99">
        <f t="shared" si="3"/>
        <v>4</v>
      </c>
    </row>
    <row r="100" spans="1:12" x14ac:dyDescent="0.25">
      <c r="A100">
        <v>98</v>
      </c>
      <c r="B100" t="str">
        <f>VLOOKUP(D100,Ngan_hang_cau_hoi!$B$2:$K$142,10,0)</f>
        <v>Chương 1</v>
      </c>
      <c r="C100" t="str">
        <f>VLOOKUP(D100,Ngan_hang_cau_hoi!$B$2:$K$142,9,0)</f>
        <v>Trung bình</v>
      </c>
      <c r="D100">
        <f t="shared" si="2"/>
        <v>20</v>
      </c>
      <c r="F100" t="str">
        <f>IF(L100=2,COUNTIF($L$1:L100,2),"")</f>
        <v/>
      </c>
      <c r="G100" t="str">
        <f>VLOOKUP(D100,Ngan_hang_cau_hoi!$B$2:$K$142,L100,0)</f>
        <v>Giảm điện áp</v>
      </c>
      <c r="H100" t="str">
        <f>IFERROR(VLOOKUP(J100,Ngan_hang_cau_hoi!$I$2:$L$142,4,0),"")</f>
        <v/>
      </c>
      <c r="J100" t="str">
        <f>IF(VLOOKUP(D100,Ngan_hang_cau_hoi!$B$2:$K$142,8,0)=G100,G100,"")</f>
        <v/>
      </c>
      <c r="L100">
        <f t="shared" si="3"/>
        <v>5</v>
      </c>
    </row>
    <row r="101" spans="1:12" x14ac:dyDescent="0.25">
      <c r="A101">
        <v>99</v>
      </c>
      <c r="B101" t="str">
        <f>VLOOKUP(D101,Ngan_hang_cau_hoi!$B$2:$K$142,10,0)</f>
        <v>Chương 1</v>
      </c>
      <c r="C101" t="str">
        <f>VLOOKUP(D101,Ngan_hang_cau_hoi!$B$2:$K$142,9,0)</f>
        <v>Trung bình</v>
      </c>
      <c r="D101">
        <f t="shared" si="2"/>
        <v>20</v>
      </c>
      <c r="F101" t="str">
        <f>IF(L101=2,COUNTIF($L$1:L101,2),"")</f>
        <v/>
      </c>
      <c r="G101" t="str">
        <f>VLOOKUP(D101,Ngan_hang_cau_hoi!$B$2:$K$142,L101,0)</f>
        <v>Giảm nhiệt</v>
      </c>
      <c r="H101" t="str">
        <f>IFERROR(VLOOKUP(J101,Ngan_hang_cau_hoi!$I$2:$L$142,4,0),"")</f>
        <v/>
      </c>
      <c r="J101" t="str">
        <f>IF(VLOOKUP(D101,Ngan_hang_cau_hoi!$B$2:$K$142,8,0)=G101,G101,"")</f>
        <v/>
      </c>
      <c r="L101">
        <f t="shared" si="3"/>
        <v>6</v>
      </c>
    </row>
    <row r="102" spans="1:12" x14ac:dyDescent="0.25">
      <c r="A102">
        <v>100</v>
      </c>
      <c r="B102" t="str">
        <f>VLOOKUP(D102,Ngan_hang_cau_hoi!$B$2:$K$142,10,0)</f>
        <v>Chương 1</v>
      </c>
      <c r="C102" t="str">
        <f>VLOOKUP(D102,Ngan_hang_cau_hoi!$B$2:$K$142,9,0)</f>
        <v>Trung bình</v>
      </c>
      <c r="D102">
        <f t="shared" si="2"/>
        <v>21</v>
      </c>
      <c r="F102">
        <f>IF(L102=2,COUNTIF($L$1:L102,2),"")</f>
        <v>21</v>
      </c>
      <c r="G102" t="str">
        <f>VLOOKUP(D102,Ngan_hang_cau_hoi!$B$2:$K$142,L102,0)</f>
        <v>Ổ SSD NVMe được cắm vào khe nào?</v>
      </c>
      <c r="H102" t="str">
        <f>IFERROR(VLOOKUP(J102,Ngan_hang_cau_hoi!$I$2:$L$142,4,0),"")</f>
        <v/>
      </c>
      <c r="J102" t="str">
        <f>IF(VLOOKUP(D102,Ngan_hang_cau_hoi!$B$2:$K$142,8,0)=G102,G102,"")</f>
        <v/>
      </c>
      <c r="L102">
        <f t="shared" si="3"/>
        <v>2</v>
      </c>
    </row>
    <row r="103" spans="1:12" x14ac:dyDescent="0.25">
      <c r="A103">
        <v>101</v>
      </c>
      <c r="B103" t="str">
        <f>VLOOKUP(D103,Ngan_hang_cau_hoi!$B$2:$K$142,10,0)</f>
        <v>Chương 1</v>
      </c>
      <c r="C103" t="str">
        <f>VLOOKUP(D103,Ngan_hang_cau_hoi!$B$2:$K$142,9,0)</f>
        <v>Trung bình</v>
      </c>
      <c r="D103">
        <f t="shared" si="2"/>
        <v>21</v>
      </c>
      <c r="F103" t="str">
        <f>IF(L103=2,COUNTIF($L$1:L103,2),"")</f>
        <v/>
      </c>
      <c r="G103" t="str">
        <f>VLOOKUP(D103,Ngan_hang_cau_hoi!$B$2:$K$142,L103,0)</f>
        <v>SATA</v>
      </c>
      <c r="H103" t="str">
        <f>IFERROR(VLOOKUP(J103,Ngan_hang_cau_hoi!$I$2:$L$142,4,0),"")</f>
        <v/>
      </c>
      <c r="J103" t="str">
        <f>IF(VLOOKUP(D103,Ngan_hang_cau_hoi!$B$2:$K$142,8,0)=G103,G103,"")</f>
        <v/>
      </c>
      <c r="L103">
        <f t="shared" si="3"/>
        <v>3</v>
      </c>
    </row>
    <row r="104" spans="1:12" x14ac:dyDescent="0.25">
      <c r="A104">
        <v>102</v>
      </c>
      <c r="B104" t="str">
        <f>VLOOKUP(D104,Ngan_hang_cau_hoi!$B$2:$K$142,10,0)</f>
        <v>Chương 1</v>
      </c>
      <c r="C104" t="str">
        <f>VLOOKUP(D104,Ngan_hang_cau_hoi!$B$2:$K$142,9,0)</f>
        <v>Trung bình</v>
      </c>
      <c r="D104">
        <f t="shared" si="2"/>
        <v>21</v>
      </c>
      <c r="F104" t="str">
        <f>IF(L104=2,COUNTIF($L$1:L104,2),"")</f>
        <v/>
      </c>
      <c r="G104" t="str">
        <f>VLOOKUP(D104,Ngan_hang_cau_hoi!$B$2:$K$142,L104,0)</f>
        <v>PCIe</v>
      </c>
      <c r="H104" t="str">
        <f>IFERROR(VLOOKUP(J104,Ngan_hang_cau_hoi!$I$2:$L$142,4,0),"")</f>
        <v/>
      </c>
      <c r="J104" t="str">
        <f>IF(VLOOKUP(D104,Ngan_hang_cau_hoi!$B$2:$K$142,8,0)=G104,G104,"")</f>
        <v/>
      </c>
      <c r="L104">
        <f t="shared" si="3"/>
        <v>4</v>
      </c>
    </row>
    <row r="105" spans="1:12" x14ac:dyDescent="0.25">
      <c r="A105">
        <v>103</v>
      </c>
      <c r="B105" t="str">
        <f>VLOOKUP(D105,Ngan_hang_cau_hoi!$B$2:$K$142,10,0)</f>
        <v>Chương 1</v>
      </c>
      <c r="C105" t="str">
        <f>VLOOKUP(D105,Ngan_hang_cau_hoi!$B$2:$K$142,9,0)</f>
        <v>Trung bình</v>
      </c>
      <c r="D105">
        <f t="shared" si="2"/>
        <v>21</v>
      </c>
      <c r="F105" t="str">
        <f>IF(L105=2,COUNTIF($L$1:L105,2),"")</f>
        <v/>
      </c>
      <c r="G105" t="str">
        <f>VLOOKUP(D105,Ngan_hang_cau_hoi!$B$2:$K$142,L105,0)</f>
        <v>M.2</v>
      </c>
      <c r="H105" t="str">
        <f>IFERROR(VLOOKUP(J105,Ngan_hang_cau_hoi!$I$2:$L$142,4,0),"")</f>
        <v>C</v>
      </c>
      <c r="J105" t="str">
        <f>IF(VLOOKUP(D105,Ngan_hang_cau_hoi!$B$2:$K$142,8,0)=G105,G105,"")</f>
        <v>M.2</v>
      </c>
      <c r="L105">
        <f t="shared" si="3"/>
        <v>5</v>
      </c>
    </row>
    <row r="106" spans="1:12" x14ac:dyDescent="0.25">
      <c r="A106">
        <v>104</v>
      </c>
      <c r="B106" t="str">
        <f>VLOOKUP(D106,Ngan_hang_cau_hoi!$B$2:$K$142,10,0)</f>
        <v>Chương 1</v>
      </c>
      <c r="C106" t="str">
        <f>VLOOKUP(D106,Ngan_hang_cau_hoi!$B$2:$K$142,9,0)</f>
        <v>Trung bình</v>
      </c>
      <c r="D106">
        <f t="shared" si="2"/>
        <v>21</v>
      </c>
      <c r="F106" t="str">
        <f>IF(L106=2,COUNTIF($L$1:L106,2),"")</f>
        <v/>
      </c>
      <c r="G106" t="str">
        <f>VLOOKUP(D106,Ngan_hang_cau_hoi!$B$2:$K$142,L106,0)</f>
        <v>IDE</v>
      </c>
      <c r="H106" t="str">
        <f>IFERROR(VLOOKUP(J106,Ngan_hang_cau_hoi!$I$2:$L$142,4,0),"")</f>
        <v/>
      </c>
      <c r="J106" t="str">
        <f>IF(VLOOKUP(D106,Ngan_hang_cau_hoi!$B$2:$K$142,8,0)=G106,G106,"")</f>
        <v/>
      </c>
      <c r="L106">
        <f t="shared" si="3"/>
        <v>6</v>
      </c>
    </row>
    <row r="107" spans="1:12" x14ac:dyDescent="0.25">
      <c r="A107">
        <v>105</v>
      </c>
      <c r="B107" t="str">
        <f>VLOOKUP(D107,Ngan_hang_cau_hoi!$B$2:$K$142,10,0)</f>
        <v>Chương 1</v>
      </c>
      <c r="C107" t="str">
        <f>VLOOKUP(D107,Ngan_hang_cau_hoi!$B$2:$K$142,9,0)</f>
        <v>Trung bình</v>
      </c>
      <c r="D107">
        <f t="shared" si="2"/>
        <v>22</v>
      </c>
      <c r="F107">
        <f>IF(L107=2,COUNTIF($L$1:L107,2),"")</f>
        <v>22</v>
      </c>
      <c r="G107" t="str">
        <f>VLOOKUP(D107,Ngan_hang_cau_hoi!$B$2:$K$142,L107,0)</f>
        <v>Ổ SSD nhanh hơn HDD chủ yếu vì lý do nào?</v>
      </c>
      <c r="H107" t="str">
        <f>IFERROR(VLOOKUP(J107,Ngan_hang_cau_hoi!$I$2:$L$142,4,0),"")</f>
        <v/>
      </c>
      <c r="J107" t="str">
        <f>IF(VLOOKUP(D107,Ngan_hang_cau_hoi!$B$2:$K$142,8,0)=G107,G107,"")</f>
        <v/>
      </c>
      <c r="L107">
        <f t="shared" si="3"/>
        <v>2</v>
      </c>
    </row>
    <row r="108" spans="1:12" x14ac:dyDescent="0.25">
      <c r="A108">
        <v>106</v>
      </c>
      <c r="B108" t="str">
        <f>VLOOKUP(D108,Ngan_hang_cau_hoi!$B$2:$K$142,10,0)</f>
        <v>Chương 1</v>
      </c>
      <c r="C108" t="str">
        <f>VLOOKUP(D108,Ngan_hang_cau_hoi!$B$2:$K$142,9,0)</f>
        <v>Trung bình</v>
      </c>
      <c r="D108">
        <f t="shared" si="2"/>
        <v>22</v>
      </c>
      <c r="F108" t="str">
        <f>IF(L108=2,COUNTIF($L$1:L108,2),"")</f>
        <v/>
      </c>
      <c r="G108" t="str">
        <f>VLOOKUP(D108,Ngan_hang_cau_hoi!$B$2:$K$142,L108,0)</f>
        <v>Không có bộ nhớ</v>
      </c>
      <c r="H108" t="str">
        <f>IFERROR(VLOOKUP(J108,Ngan_hang_cau_hoi!$I$2:$L$142,4,0),"")</f>
        <v/>
      </c>
      <c r="J108" t="str">
        <f>IF(VLOOKUP(D108,Ngan_hang_cau_hoi!$B$2:$K$142,8,0)=G108,G108,"")</f>
        <v/>
      </c>
      <c r="L108">
        <f t="shared" si="3"/>
        <v>3</v>
      </c>
    </row>
    <row r="109" spans="1:12" x14ac:dyDescent="0.25">
      <c r="A109">
        <v>107</v>
      </c>
      <c r="B109" t="str">
        <f>VLOOKUP(D109,Ngan_hang_cau_hoi!$B$2:$K$142,10,0)</f>
        <v>Chương 1</v>
      </c>
      <c r="C109" t="str">
        <f>VLOOKUP(D109,Ngan_hang_cau_hoi!$B$2:$K$142,9,0)</f>
        <v>Trung bình</v>
      </c>
      <c r="D109">
        <f t="shared" si="2"/>
        <v>22</v>
      </c>
      <c r="F109" t="str">
        <f>IF(L109=2,COUNTIF($L$1:L109,2),"")</f>
        <v/>
      </c>
      <c r="G109" t="str">
        <f>VLOOKUP(D109,Ngan_hang_cau_hoi!$B$2:$K$142,L109,0)</f>
        <v>Không có bộ phận cơ học</v>
      </c>
      <c r="H109" t="str">
        <f>IFERROR(VLOOKUP(J109,Ngan_hang_cau_hoi!$I$2:$L$142,4,0),"")</f>
        <v>B</v>
      </c>
      <c r="J109" t="str">
        <f>IF(VLOOKUP(D109,Ngan_hang_cau_hoi!$B$2:$K$142,8,0)=G109,G109,"")</f>
        <v>Không có bộ phận cơ học</v>
      </c>
      <c r="L109">
        <f t="shared" si="3"/>
        <v>4</v>
      </c>
    </row>
    <row r="110" spans="1:12" x14ac:dyDescent="0.25">
      <c r="A110">
        <v>108</v>
      </c>
      <c r="B110" t="str">
        <f>VLOOKUP(D110,Ngan_hang_cau_hoi!$B$2:$K$142,10,0)</f>
        <v>Chương 1</v>
      </c>
      <c r="C110" t="str">
        <f>VLOOKUP(D110,Ngan_hang_cau_hoi!$B$2:$K$142,9,0)</f>
        <v>Trung bình</v>
      </c>
      <c r="D110">
        <f t="shared" si="2"/>
        <v>22</v>
      </c>
      <c r="F110" t="str">
        <f>IF(L110=2,COUNTIF($L$1:L110,2),"")</f>
        <v/>
      </c>
      <c r="G110" t="str">
        <f>VLOOKUP(D110,Ngan_hang_cau_hoi!$B$2:$K$142,L110,0)</f>
        <v>Không cần điện</v>
      </c>
      <c r="H110" t="str">
        <f>IFERROR(VLOOKUP(J110,Ngan_hang_cau_hoi!$I$2:$L$142,4,0),"")</f>
        <v/>
      </c>
      <c r="J110" t="str">
        <f>IF(VLOOKUP(D110,Ngan_hang_cau_hoi!$B$2:$K$142,8,0)=G110,G110,"")</f>
        <v/>
      </c>
      <c r="L110">
        <f t="shared" si="3"/>
        <v>5</v>
      </c>
    </row>
    <row r="111" spans="1:12" x14ac:dyDescent="0.25">
      <c r="A111">
        <v>109</v>
      </c>
      <c r="B111" t="str">
        <f>VLOOKUP(D111,Ngan_hang_cau_hoi!$B$2:$K$142,10,0)</f>
        <v>Chương 1</v>
      </c>
      <c r="C111" t="str">
        <f>VLOOKUP(D111,Ngan_hang_cau_hoi!$B$2:$K$142,9,0)</f>
        <v>Trung bình</v>
      </c>
      <c r="D111">
        <f t="shared" si="2"/>
        <v>22</v>
      </c>
      <c r="F111" t="str">
        <f>IF(L111=2,COUNTIF($L$1:L111,2),"")</f>
        <v/>
      </c>
      <c r="G111" t="str">
        <f>VLOOKUP(D111,Ngan_hang_cau_hoi!$B$2:$K$142,L111,0)</f>
        <v>Không cần mainboard</v>
      </c>
      <c r="H111" t="str">
        <f>IFERROR(VLOOKUP(J111,Ngan_hang_cau_hoi!$I$2:$L$142,4,0),"")</f>
        <v/>
      </c>
      <c r="J111" t="str">
        <f>IF(VLOOKUP(D111,Ngan_hang_cau_hoi!$B$2:$K$142,8,0)=G111,G111,"")</f>
        <v/>
      </c>
      <c r="L111">
        <f t="shared" si="3"/>
        <v>6</v>
      </c>
    </row>
    <row r="112" spans="1:12" x14ac:dyDescent="0.25">
      <c r="A112">
        <v>110</v>
      </c>
      <c r="B112" t="str">
        <f>VLOOKUP(D112,Ngan_hang_cau_hoi!$B$2:$K$142,10,0)</f>
        <v>Chương 1</v>
      </c>
      <c r="C112" t="str">
        <f>VLOOKUP(D112,Ngan_hang_cau_hoi!$B$2:$K$142,9,0)</f>
        <v>Trung bình</v>
      </c>
      <c r="D112">
        <f t="shared" si="2"/>
        <v>23</v>
      </c>
      <c r="F112">
        <f>IF(L112=2,COUNTIF($L$1:L112,2),"")</f>
        <v>23</v>
      </c>
      <c r="G112" t="str">
        <f>VLOOKUP(D112,Ngan_hang_cau_hoi!$B$2:$K$142,L112,0)</f>
        <v>Ổ HDD 7200RPM nhanh hơn 5400RPM vì lý do gì?</v>
      </c>
      <c r="H112" t="str">
        <f>IFERROR(VLOOKUP(J112,Ngan_hang_cau_hoi!$I$2:$L$142,4,0),"")</f>
        <v/>
      </c>
      <c r="J112" t="str">
        <f>IF(VLOOKUP(D112,Ngan_hang_cau_hoi!$B$2:$K$142,8,0)=G112,G112,"")</f>
        <v/>
      </c>
      <c r="L112">
        <f t="shared" si="3"/>
        <v>2</v>
      </c>
    </row>
    <row r="113" spans="1:12" x14ac:dyDescent="0.25">
      <c r="A113">
        <v>111</v>
      </c>
      <c r="B113" t="str">
        <f>VLOOKUP(D113,Ngan_hang_cau_hoi!$B$2:$K$142,10,0)</f>
        <v>Chương 1</v>
      </c>
      <c r="C113" t="str">
        <f>VLOOKUP(D113,Ngan_hang_cau_hoi!$B$2:$K$142,9,0)</f>
        <v>Trung bình</v>
      </c>
      <c r="D113">
        <f t="shared" si="2"/>
        <v>23</v>
      </c>
      <c r="F113" t="str">
        <f>IF(L113=2,COUNTIF($L$1:L113,2),"")</f>
        <v/>
      </c>
      <c r="G113" t="str">
        <f>VLOOKUP(D113,Ngan_hang_cau_hoi!$B$2:$K$142,L113,0)</f>
        <v>Đĩa quay nhanh hơn</v>
      </c>
      <c r="H113" t="str">
        <f>IFERROR(VLOOKUP(J113,Ngan_hang_cau_hoi!$I$2:$L$142,4,0),"")</f>
        <v>A</v>
      </c>
      <c r="J113" t="str">
        <f>IF(VLOOKUP(D113,Ngan_hang_cau_hoi!$B$2:$K$142,8,0)=G113,G113,"")</f>
        <v>Đĩa quay nhanh hơn</v>
      </c>
      <c r="L113">
        <f t="shared" si="3"/>
        <v>3</v>
      </c>
    </row>
    <row r="114" spans="1:12" x14ac:dyDescent="0.25">
      <c r="A114">
        <v>112</v>
      </c>
      <c r="B114" t="str">
        <f>VLOOKUP(D114,Ngan_hang_cau_hoi!$B$2:$K$142,10,0)</f>
        <v>Chương 1</v>
      </c>
      <c r="C114" t="str">
        <f>VLOOKUP(D114,Ngan_hang_cau_hoi!$B$2:$K$142,9,0)</f>
        <v>Trung bình</v>
      </c>
      <c r="D114">
        <f t="shared" si="2"/>
        <v>23</v>
      </c>
      <c r="F114" t="str">
        <f>IF(L114=2,COUNTIF($L$1:L114,2),"")</f>
        <v/>
      </c>
      <c r="G114" t="str">
        <f>VLOOKUP(D114,Ngan_hang_cau_hoi!$B$2:$K$142,L114,0)</f>
        <v>Dung lượng lớn hơn</v>
      </c>
      <c r="H114" t="str">
        <f>IFERROR(VLOOKUP(J114,Ngan_hang_cau_hoi!$I$2:$L$142,4,0),"")</f>
        <v/>
      </c>
      <c r="J114" t="str">
        <f>IF(VLOOKUP(D114,Ngan_hang_cau_hoi!$B$2:$K$142,8,0)=G114,G114,"")</f>
        <v/>
      </c>
      <c r="L114">
        <f t="shared" si="3"/>
        <v>4</v>
      </c>
    </row>
    <row r="115" spans="1:12" x14ac:dyDescent="0.25">
      <c r="A115">
        <v>113</v>
      </c>
      <c r="B115" t="str">
        <f>VLOOKUP(D115,Ngan_hang_cau_hoi!$B$2:$K$142,10,0)</f>
        <v>Chương 1</v>
      </c>
      <c r="C115" t="str">
        <f>VLOOKUP(D115,Ngan_hang_cau_hoi!$B$2:$K$142,9,0)</f>
        <v>Trung bình</v>
      </c>
      <c r="D115">
        <f t="shared" si="2"/>
        <v>23</v>
      </c>
      <c r="F115" t="str">
        <f>IF(L115=2,COUNTIF($L$1:L115,2),"")</f>
        <v/>
      </c>
      <c r="G115" t="str">
        <f>VLOOKUP(D115,Ngan_hang_cau_hoi!$B$2:$K$142,L115,0)</f>
        <v>Có RAM</v>
      </c>
      <c r="H115" t="str">
        <f>IFERROR(VLOOKUP(J115,Ngan_hang_cau_hoi!$I$2:$L$142,4,0),"")</f>
        <v/>
      </c>
      <c r="J115" t="str">
        <f>IF(VLOOKUP(D115,Ngan_hang_cau_hoi!$B$2:$K$142,8,0)=G115,G115,"")</f>
        <v/>
      </c>
      <c r="L115">
        <f t="shared" si="3"/>
        <v>5</v>
      </c>
    </row>
    <row r="116" spans="1:12" x14ac:dyDescent="0.25">
      <c r="A116">
        <v>114</v>
      </c>
      <c r="B116" t="str">
        <f>VLOOKUP(D116,Ngan_hang_cau_hoi!$B$2:$K$142,10,0)</f>
        <v>Chương 1</v>
      </c>
      <c r="C116" t="str">
        <f>VLOOKUP(D116,Ngan_hang_cau_hoi!$B$2:$K$142,9,0)</f>
        <v>Trung bình</v>
      </c>
      <c r="D116">
        <f t="shared" si="2"/>
        <v>23</v>
      </c>
      <c r="F116" t="str">
        <f>IF(L116=2,COUNTIF($L$1:L116,2),"")</f>
        <v/>
      </c>
      <c r="G116" t="str">
        <f>VLOOKUP(D116,Ngan_hang_cau_hoi!$B$2:$K$142,L116,0)</f>
        <v>Có GPU</v>
      </c>
      <c r="H116" t="str">
        <f>IFERROR(VLOOKUP(J116,Ngan_hang_cau_hoi!$I$2:$L$142,4,0),"")</f>
        <v/>
      </c>
      <c r="J116" t="str">
        <f>IF(VLOOKUP(D116,Ngan_hang_cau_hoi!$B$2:$K$142,8,0)=G116,G116,"")</f>
        <v/>
      </c>
      <c r="L116">
        <f t="shared" si="3"/>
        <v>6</v>
      </c>
    </row>
    <row r="117" spans="1:12" x14ac:dyDescent="0.25">
      <c r="A117">
        <v>115</v>
      </c>
      <c r="B117" t="str">
        <f>VLOOKUP(D117,Ngan_hang_cau_hoi!$B$2:$K$142,10,0)</f>
        <v>Chương 1</v>
      </c>
      <c r="C117" t="str">
        <f>VLOOKUP(D117,Ngan_hang_cau_hoi!$B$2:$K$142,9,0)</f>
        <v>Trung bình</v>
      </c>
      <c r="D117">
        <f t="shared" si="2"/>
        <v>24</v>
      </c>
      <c r="F117">
        <f>IF(L117=2,COUNTIF($L$1:L117,2),"")</f>
        <v>24</v>
      </c>
      <c r="G117" t="str">
        <f>VLOOKUP(D117,Ngan_hang_cau_hoi!$B$2:$K$142,L117,0)</f>
        <v>Nếu CPU socket khác mainboard:</v>
      </c>
      <c r="H117" t="str">
        <f>IFERROR(VLOOKUP(J117,Ngan_hang_cau_hoi!$I$2:$L$142,4,0),"")</f>
        <v/>
      </c>
      <c r="J117" t="str">
        <f>IF(VLOOKUP(D117,Ngan_hang_cau_hoi!$B$2:$K$142,8,0)=G117,G117,"")</f>
        <v/>
      </c>
      <c r="L117">
        <f t="shared" si="3"/>
        <v>2</v>
      </c>
    </row>
    <row r="118" spans="1:12" x14ac:dyDescent="0.25">
      <c r="A118">
        <v>116</v>
      </c>
      <c r="B118" t="str">
        <f>VLOOKUP(D118,Ngan_hang_cau_hoi!$B$2:$K$142,10,0)</f>
        <v>Chương 1</v>
      </c>
      <c r="C118" t="str">
        <f>VLOOKUP(D118,Ngan_hang_cau_hoi!$B$2:$K$142,9,0)</f>
        <v>Trung bình</v>
      </c>
      <c r="D118">
        <f t="shared" si="2"/>
        <v>24</v>
      </c>
      <c r="F118" t="str">
        <f>IF(L118=2,COUNTIF($L$1:L118,2),"")</f>
        <v/>
      </c>
      <c r="G118" t="str">
        <f>VLOOKUP(D118,Ngan_hang_cau_hoi!$B$2:$K$142,L118,0)</f>
        <v>không lắp được</v>
      </c>
      <c r="H118" t="str">
        <f>IFERROR(VLOOKUP(J118,Ngan_hang_cau_hoi!$I$2:$L$142,4,0),"")</f>
        <v>B</v>
      </c>
      <c r="J118" t="str">
        <f>IF(VLOOKUP(D118,Ngan_hang_cau_hoi!$B$2:$K$142,8,0)=G118,G118,"")</f>
        <v>không lắp được</v>
      </c>
      <c r="L118">
        <f t="shared" si="3"/>
        <v>3</v>
      </c>
    </row>
    <row r="119" spans="1:12" x14ac:dyDescent="0.25">
      <c r="A119">
        <v>117</v>
      </c>
      <c r="B119" t="str">
        <f>VLOOKUP(D119,Ngan_hang_cau_hoi!$B$2:$K$142,10,0)</f>
        <v>Chương 1</v>
      </c>
      <c r="C119" t="str">
        <f>VLOOKUP(D119,Ngan_hang_cau_hoi!$B$2:$K$142,9,0)</f>
        <v>Trung bình</v>
      </c>
      <c r="D119">
        <f t="shared" si="2"/>
        <v>24</v>
      </c>
      <c r="F119" t="str">
        <f>IF(L119=2,COUNTIF($L$1:L119,2),"")</f>
        <v/>
      </c>
      <c r="G119" t="str">
        <f>VLOOKUP(D119,Ngan_hang_cau_hoi!$B$2:$K$142,L119,0)</f>
        <v>chạy chậm</v>
      </c>
      <c r="H119" t="str">
        <f>IFERROR(VLOOKUP(J119,Ngan_hang_cau_hoi!$I$2:$L$142,4,0),"")</f>
        <v/>
      </c>
      <c r="J119" t="str">
        <f>IF(VLOOKUP(D119,Ngan_hang_cau_hoi!$B$2:$K$142,8,0)=G119,G119,"")</f>
        <v/>
      </c>
      <c r="L119">
        <f t="shared" si="3"/>
        <v>4</v>
      </c>
    </row>
    <row r="120" spans="1:12" x14ac:dyDescent="0.25">
      <c r="A120">
        <v>118</v>
      </c>
      <c r="B120" t="str">
        <f>VLOOKUP(D120,Ngan_hang_cau_hoi!$B$2:$K$142,10,0)</f>
        <v>Chương 1</v>
      </c>
      <c r="C120" t="str">
        <f>VLOOKUP(D120,Ngan_hang_cau_hoi!$B$2:$K$142,9,0)</f>
        <v>Trung bình</v>
      </c>
      <c r="D120">
        <f t="shared" si="2"/>
        <v>24</v>
      </c>
      <c r="F120" t="str">
        <f>IF(L120=2,COUNTIF($L$1:L120,2),"")</f>
        <v/>
      </c>
      <c r="G120" t="str">
        <f>VLOOKUP(D120,Ngan_hang_cau_hoi!$B$2:$K$142,L120,0)</f>
        <v>không chạy được</v>
      </c>
      <c r="H120" t="str">
        <f>IFERROR(VLOOKUP(J120,Ngan_hang_cau_hoi!$I$2:$L$142,4,0),"")</f>
        <v/>
      </c>
      <c r="J120" t="str">
        <f>IF(VLOOKUP(D120,Ngan_hang_cau_hoi!$B$2:$K$142,8,0)=G120,G120,"")</f>
        <v/>
      </c>
      <c r="L120">
        <f t="shared" si="3"/>
        <v>5</v>
      </c>
    </row>
    <row r="121" spans="1:12" x14ac:dyDescent="0.25">
      <c r="A121">
        <v>119</v>
      </c>
      <c r="B121" t="str">
        <f>VLOOKUP(D121,Ngan_hang_cau_hoi!$B$2:$K$142,10,0)</f>
        <v>Chương 1</v>
      </c>
      <c r="C121" t="str">
        <f>VLOOKUP(D121,Ngan_hang_cau_hoi!$B$2:$K$142,9,0)</f>
        <v>Trung bình</v>
      </c>
      <c r="D121">
        <f t="shared" si="2"/>
        <v>24</v>
      </c>
      <c r="F121" t="str">
        <f>IF(L121=2,COUNTIF($L$1:L121,2),"")</f>
        <v/>
      </c>
      <c r="G121" t="str">
        <f>VLOOKUP(D121,Ngan_hang_cau_hoi!$B$2:$K$142,L121,0)</f>
        <v>RAM lỗi</v>
      </c>
      <c r="H121" t="str">
        <f>IFERROR(VLOOKUP(J121,Ngan_hang_cau_hoi!$I$2:$L$142,4,0),"")</f>
        <v/>
      </c>
      <c r="J121" t="str">
        <f>IF(VLOOKUP(D121,Ngan_hang_cau_hoi!$B$2:$K$142,8,0)=G121,G121,"")</f>
        <v/>
      </c>
      <c r="L121">
        <f t="shared" si="3"/>
        <v>6</v>
      </c>
    </row>
    <row r="122" spans="1:12" x14ac:dyDescent="0.25">
      <c r="A122">
        <v>120</v>
      </c>
      <c r="B122" t="str">
        <f>VLOOKUP(D122,Ngan_hang_cau_hoi!$B$2:$K$142,10,0)</f>
        <v>Chương 1</v>
      </c>
      <c r="C122" t="str">
        <f>VLOOKUP(D122,Ngan_hang_cau_hoi!$B$2:$K$142,9,0)</f>
        <v>Trung bình</v>
      </c>
      <c r="D122">
        <f t="shared" si="2"/>
        <v>25</v>
      </c>
      <c r="F122">
        <f>IF(L122=2,COUNTIF($L$1:L122,2),"")</f>
        <v>25</v>
      </c>
      <c r="G122" t="str">
        <f>VLOOKUP(D122,Ngan_hang_cau_hoi!$B$2:$K$142,L122,0)</f>
        <v>Máy tính bật nguồn nhưng tắt ngay sau vài giây, nguyên nhân có thể là:</v>
      </c>
      <c r="H122" t="str">
        <f>IFERROR(VLOOKUP(J122,Ngan_hang_cau_hoi!$I$2:$L$142,4,0),"")</f>
        <v/>
      </c>
      <c r="J122" t="str">
        <f>IF(VLOOKUP(D122,Ngan_hang_cau_hoi!$B$2:$K$142,8,0)=G122,G122,"")</f>
        <v/>
      </c>
      <c r="L122">
        <f t="shared" si="3"/>
        <v>2</v>
      </c>
    </row>
    <row r="123" spans="1:12" x14ac:dyDescent="0.25">
      <c r="A123">
        <v>121</v>
      </c>
      <c r="B123" t="str">
        <f>VLOOKUP(D123,Ngan_hang_cau_hoi!$B$2:$K$142,10,0)</f>
        <v>Chương 1</v>
      </c>
      <c r="C123" t="str">
        <f>VLOOKUP(D123,Ngan_hang_cau_hoi!$B$2:$K$142,9,0)</f>
        <v>Trung bình</v>
      </c>
      <c r="D123">
        <f t="shared" si="2"/>
        <v>25</v>
      </c>
      <c r="F123" t="str">
        <f>IF(L123=2,COUNTIF($L$1:L123,2),"")</f>
        <v/>
      </c>
      <c r="G123" t="str">
        <f>VLOOKUP(D123,Ngan_hang_cau_hoi!$B$2:$K$142,L123,0)</f>
        <v>Nguồn không đủ công suất</v>
      </c>
      <c r="H123" t="str">
        <f>IFERROR(VLOOKUP(J123,Ngan_hang_cau_hoi!$I$2:$L$142,4,0),"")</f>
        <v>A</v>
      </c>
      <c r="J123" t="str">
        <f>IF(VLOOKUP(D123,Ngan_hang_cau_hoi!$B$2:$K$142,8,0)=G123,G123,"")</f>
        <v>Nguồn không đủ công suất</v>
      </c>
      <c r="L123">
        <f t="shared" si="3"/>
        <v>3</v>
      </c>
    </row>
    <row r="124" spans="1:12" x14ac:dyDescent="0.25">
      <c r="A124">
        <v>122</v>
      </c>
      <c r="B124" t="str">
        <f>VLOOKUP(D124,Ngan_hang_cau_hoi!$B$2:$K$142,10,0)</f>
        <v>Chương 1</v>
      </c>
      <c r="C124" t="str">
        <f>VLOOKUP(D124,Ngan_hang_cau_hoi!$B$2:$K$142,9,0)</f>
        <v>Trung bình</v>
      </c>
      <c r="D124">
        <f t="shared" si="2"/>
        <v>25</v>
      </c>
      <c r="F124" t="str">
        <f>IF(L124=2,COUNTIF($L$1:L124,2),"")</f>
        <v/>
      </c>
      <c r="G124" t="str">
        <f>VLOOKUP(D124,Ngan_hang_cau_hoi!$B$2:$K$142,L124,0)</f>
        <v>Lỗi ổ cứng hoặc đầy dữ liệu</v>
      </c>
      <c r="H124" t="str">
        <f>IFERROR(VLOOKUP(J124,Ngan_hang_cau_hoi!$I$2:$L$142,4,0),"")</f>
        <v/>
      </c>
      <c r="J124" t="str">
        <f>IF(VLOOKUP(D124,Ngan_hang_cau_hoi!$B$2:$K$142,8,0)=G124,G124,"")</f>
        <v/>
      </c>
      <c r="L124">
        <f t="shared" si="3"/>
        <v>4</v>
      </c>
    </row>
    <row r="125" spans="1:12" x14ac:dyDescent="0.25">
      <c r="A125">
        <v>123</v>
      </c>
      <c r="B125" t="str">
        <f>VLOOKUP(D125,Ngan_hang_cau_hoi!$B$2:$K$142,10,0)</f>
        <v>Chương 1</v>
      </c>
      <c r="C125" t="str">
        <f>VLOOKUP(D125,Ngan_hang_cau_hoi!$B$2:$K$142,9,0)</f>
        <v>Trung bình</v>
      </c>
      <c r="D125">
        <f t="shared" si="2"/>
        <v>25</v>
      </c>
      <c r="F125" t="str">
        <f>IF(L125=2,COUNTIF($L$1:L125,2),"")</f>
        <v/>
      </c>
      <c r="G125" t="str">
        <f>VLOOKUP(D125,Ngan_hang_cau_hoi!$B$2:$K$142,L125,0)</f>
        <v>RAM yếu</v>
      </c>
      <c r="H125" t="str">
        <f>IFERROR(VLOOKUP(J125,Ngan_hang_cau_hoi!$I$2:$L$142,4,0),"")</f>
        <v/>
      </c>
      <c r="J125" t="str">
        <f>IF(VLOOKUP(D125,Ngan_hang_cau_hoi!$B$2:$K$142,8,0)=G125,G125,"")</f>
        <v/>
      </c>
      <c r="L125">
        <f t="shared" si="3"/>
        <v>5</v>
      </c>
    </row>
    <row r="126" spans="1:12" x14ac:dyDescent="0.25">
      <c r="A126">
        <v>124</v>
      </c>
      <c r="B126" t="str">
        <f>VLOOKUP(D126,Ngan_hang_cau_hoi!$B$2:$K$142,10,0)</f>
        <v>Chương 1</v>
      </c>
      <c r="C126" t="str">
        <f>VLOOKUP(D126,Ngan_hang_cau_hoi!$B$2:$K$142,9,0)</f>
        <v>Trung bình</v>
      </c>
      <c r="D126">
        <f t="shared" si="2"/>
        <v>25</v>
      </c>
      <c r="F126" t="str">
        <f>IF(L126=2,COUNTIF($L$1:L126,2),"")</f>
        <v/>
      </c>
      <c r="G126" t="str">
        <f>VLOOKUP(D126,Ngan_hang_cau_hoi!$B$2:$K$142,L126,0)</f>
        <v>Cổng USB hỏng</v>
      </c>
      <c r="H126" t="str">
        <f>IFERROR(VLOOKUP(J126,Ngan_hang_cau_hoi!$I$2:$L$142,4,0),"")</f>
        <v/>
      </c>
      <c r="J126" t="str">
        <f>IF(VLOOKUP(D126,Ngan_hang_cau_hoi!$B$2:$K$142,8,0)=G126,G126,"")</f>
        <v/>
      </c>
      <c r="L126">
        <f t="shared" si="3"/>
        <v>6</v>
      </c>
    </row>
    <row r="127" spans="1:12" x14ac:dyDescent="0.25">
      <c r="A127">
        <v>125</v>
      </c>
      <c r="B127" t="str">
        <f>VLOOKUP(D127,Ngan_hang_cau_hoi!$B$2:$K$142,10,0)</f>
        <v>Chương 1</v>
      </c>
      <c r="C127" t="str">
        <f>VLOOKUP(D127,Ngan_hang_cau_hoi!$B$2:$K$142,9,0)</f>
        <v>Trung bình</v>
      </c>
      <c r="D127">
        <f t="shared" si="2"/>
        <v>26</v>
      </c>
      <c r="F127">
        <f>IF(L127=2,COUNTIF($L$1:L127,2),"")</f>
        <v>26</v>
      </c>
      <c r="G127" t="str">
        <f>VLOOKUP(D127,Ngan_hang_cau_hoi!$B$2:$K$142,L127,0)</f>
        <v>Mainboard Mini-ITX là loại thường dùng cho:</v>
      </c>
      <c r="H127" t="str">
        <f>IFERROR(VLOOKUP(J127,Ngan_hang_cau_hoi!$I$2:$L$142,4,0),"")</f>
        <v/>
      </c>
      <c r="J127" t="str">
        <f>IF(VLOOKUP(D127,Ngan_hang_cau_hoi!$B$2:$K$142,8,0)=G127,G127,"")</f>
        <v/>
      </c>
      <c r="L127">
        <f t="shared" si="3"/>
        <v>2</v>
      </c>
    </row>
    <row r="128" spans="1:12" x14ac:dyDescent="0.25">
      <c r="A128">
        <v>126</v>
      </c>
      <c r="B128" t="str">
        <f>VLOOKUP(D128,Ngan_hang_cau_hoi!$B$2:$K$142,10,0)</f>
        <v>Chương 1</v>
      </c>
      <c r="C128" t="str">
        <f>VLOOKUP(D128,Ngan_hang_cau_hoi!$B$2:$K$142,9,0)</f>
        <v>Trung bình</v>
      </c>
      <c r="D128">
        <f t="shared" si="2"/>
        <v>26</v>
      </c>
      <c r="F128" t="str">
        <f>IF(L128=2,COUNTIF($L$1:L128,2),"")</f>
        <v/>
      </c>
      <c r="G128" t="str">
        <f>VLOOKUP(D128,Ngan_hang_cau_hoi!$B$2:$K$142,L128,0)</f>
        <v>Máy nhỏ gọn</v>
      </c>
      <c r="H128" t="str">
        <f>IFERROR(VLOOKUP(J128,Ngan_hang_cau_hoi!$I$2:$L$142,4,0),"")</f>
        <v>A</v>
      </c>
      <c r="J128" t="str">
        <f>IF(VLOOKUP(D128,Ngan_hang_cau_hoi!$B$2:$K$142,8,0)=G128,G128,"")</f>
        <v>Máy nhỏ gọn</v>
      </c>
      <c r="L128">
        <f t="shared" si="3"/>
        <v>3</v>
      </c>
    </row>
    <row r="129" spans="1:12" x14ac:dyDescent="0.25">
      <c r="A129">
        <v>127</v>
      </c>
      <c r="B129" t="str">
        <f>VLOOKUP(D129,Ngan_hang_cau_hoi!$B$2:$K$142,10,0)</f>
        <v>Chương 1</v>
      </c>
      <c r="C129" t="str">
        <f>VLOOKUP(D129,Ngan_hang_cau_hoi!$B$2:$K$142,9,0)</f>
        <v>Trung bình</v>
      </c>
      <c r="D129">
        <f t="shared" si="2"/>
        <v>26</v>
      </c>
      <c r="F129" t="str">
        <f>IF(L129=2,COUNTIF($L$1:L129,2),"")</f>
        <v/>
      </c>
      <c r="G129" t="str">
        <f>VLOOKUP(D129,Ngan_hang_cau_hoi!$B$2:$K$142,L129,0)</f>
        <v>Server lớn</v>
      </c>
      <c r="H129" t="str">
        <f>IFERROR(VLOOKUP(J129,Ngan_hang_cau_hoi!$I$2:$L$142,4,0),"")</f>
        <v/>
      </c>
      <c r="J129" t="str">
        <f>IF(VLOOKUP(D129,Ngan_hang_cau_hoi!$B$2:$K$142,8,0)=G129,G129,"")</f>
        <v/>
      </c>
      <c r="L129">
        <f t="shared" si="3"/>
        <v>4</v>
      </c>
    </row>
    <row r="130" spans="1:12" x14ac:dyDescent="0.25">
      <c r="A130">
        <v>128</v>
      </c>
      <c r="B130" t="str">
        <f>VLOOKUP(D130,Ngan_hang_cau_hoi!$B$2:$K$142,10,0)</f>
        <v>Chương 1</v>
      </c>
      <c r="C130" t="str">
        <f>VLOOKUP(D130,Ngan_hang_cau_hoi!$B$2:$K$142,9,0)</f>
        <v>Trung bình</v>
      </c>
      <c r="D130">
        <f t="shared" si="2"/>
        <v>26</v>
      </c>
      <c r="F130" t="str">
        <f>IF(L130=2,COUNTIF($L$1:L130,2),"")</f>
        <v/>
      </c>
      <c r="G130" t="str">
        <f>VLOOKUP(D130,Ngan_hang_cau_hoi!$B$2:$K$142,L130,0)</f>
        <v>Workstation</v>
      </c>
      <c r="H130" t="str">
        <f>IFERROR(VLOOKUP(J130,Ngan_hang_cau_hoi!$I$2:$L$142,4,0),"")</f>
        <v/>
      </c>
      <c r="J130" t="str">
        <f>IF(VLOOKUP(D130,Ngan_hang_cau_hoi!$B$2:$K$142,8,0)=G130,G130,"")</f>
        <v/>
      </c>
      <c r="L130">
        <f t="shared" si="3"/>
        <v>5</v>
      </c>
    </row>
    <row r="131" spans="1:12" x14ac:dyDescent="0.25">
      <c r="A131">
        <v>129</v>
      </c>
      <c r="B131" t="str">
        <f>VLOOKUP(D131,Ngan_hang_cau_hoi!$B$2:$K$142,10,0)</f>
        <v>Chương 1</v>
      </c>
      <c r="C131" t="str">
        <f>VLOOKUP(D131,Ngan_hang_cau_hoi!$B$2:$K$142,9,0)</f>
        <v>Trung bình</v>
      </c>
      <c r="D131">
        <f t="shared" ref="D131:D194" si="4">INT(A131/5)+1</f>
        <v>26</v>
      </c>
      <c r="F131" t="str">
        <f>IF(L131=2,COUNTIF($L$1:L131,2),"")</f>
        <v/>
      </c>
      <c r="G131" t="str">
        <f>VLOOKUP(D131,Ngan_hang_cau_hoi!$B$2:$K$142,L131,0)</f>
        <v>Gaming tower</v>
      </c>
      <c r="H131" t="str">
        <f>IFERROR(VLOOKUP(J131,Ngan_hang_cau_hoi!$I$2:$L$142,4,0),"")</f>
        <v/>
      </c>
      <c r="J131" t="str">
        <f>IF(VLOOKUP(D131,Ngan_hang_cau_hoi!$B$2:$K$142,8,0)=G131,G131,"")</f>
        <v/>
      </c>
      <c r="L131">
        <f t="shared" ref="L131:L194" si="5">IF(L130=6,2,L130+1)</f>
        <v>6</v>
      </c>
    </row>
    <row r="132" spans="1:12" x14ac:dyDescent="0.25">
      <c r="A132">
        <v>130</v>
      </c>
      <c r="B132" t="str">
        <f>VLOOKUP(D132,Ngan_hang_cau_hoi!$B$2:$K$142,10,0)</f>
        <v>Chương 1</v>
      </c>
      <c r="C132" t="str">
        <f>VLOOKUP(D132,Ngan_hang_cau_hoi!$B$2:$K$142,9,0)</f>
        <v>Trung bình</v>
      </c>
      <c r="D132">
        <f t="shared" si="4"/>
        <v>27</v>
      </c>
      <c r="F132">
        <f>IF(L132=2,COUNTIF($L$1:L132,2),"")</f>
        <v>27</v>
      </c>
      <c r="G132" t="str">
        <f>VLOOKUP(D132,Ngan_hang_cau_hoi!$B$2:$K$142,L132,0)</f>
        <v>Mainboard Micro‑ATX nhỏ hơn loại nào?</v>
      </c>
      <c r="H132" t="str">
        <f>IFERROR(VLOOKUP(J132,Ngan_hang_cau_hoi!$I$2:$L$142,4,0),"")</f>
        <v/>
      </c>
      <c r="J132" t="str">
        <f>IF(VLOOKUP(D132,Ngan_hang_cau_hoi!$B$2:$K$142,8,0)=G132,G132,"")</f>
        <v/>
      </c>
      <c r="L132">
        <f t="shared" si="5"/>
        <v>2</v>
      </c>
    </row>
    <row r="133" spans="1:12" x14ac:dyDescent="0.25">
      <c r="A133">
        <v>131</v>
      </c>
      <c r="B133" t="str">
        <f>VLOOKUP(D133,Ngan_hang_cau_hoi!$B$2:$K$142,10,0)</f>
        <v>Chương 1</v>
      </c>
      <c r="C133" t="str">
        <f>VLOOKUP(D133,Ngan_hang_cau_hoi!$B$2:$K$142,9,0)</f>
        <v>Trung bình</v>
      </c>
      <c r="D133">
        <f t="shared" si="4"/>
        <v>27</v>
      </c>
      <c r="F133" t="str">
        <f>IF(L133=2,COUNTIF($L$1:L133,2),"")</f>
        <v/>
      </c>
      <c r="G133" t="str">
        <f>VLOOKUP(D133,Ngan_hang_cau_hoi!$B$2:$K$142,L133,0)</f>
        <v>ATX</v>
      </c>
      <c r="H133" t="str">
        <f>IFERROR(VLOOKUP(J133,Ngan_hang_cau_hoi!$I$2:$L$142,4,0),"")</f>
        <v>A</v>
      </c>
      <c r="J133" t="str">
        <f>IF(VLOOKUP(D133,Ngan_hang_cau_hoi!$B$2:$K$142,8,0)=G133,G133,"")</f>
        <v>ATX</v>
      </c>
      <c r="L133">
        <f t="shared" si="5"/>
        <v>3</v>
      </c>
    </row>
    <row r="134" spans="1:12" x14ac:dyDescent="0.25">
      <c r="A134">
        <v>132</v>
      </c>
      <c r="B134" t="str">
        <f>VLOOKUP(D134,Ngan_hang_cau_hoi!$B$2:$K$142,10,0)</f>
        <v>Chương 1</v>
      </c>
      <c r="C134" t="str">
        <f>VLOOKUP(D134,Ngan_hang_cau_hoi!$B$2:$K$142,9,0)</f>
        <v>Trung bình</v>
      </c>
      <c r="D134">
        <f t="shared" si="4"/>
        <v>27</v>
      </c>
      <c r="F134" t="str">
        <f>IF(L134=2,COUNTIF($L$1:L134,2),"")</f>
        <v/>
      </c>
      <c r="G134" t="str">
        <f>VLOOKUP(D134,Ngan_hang_cau_hoi!$B$2:$K$142,L134,0)</f>
        <v>Mini‑ITX</v>
      </c>
      <c r="H134" t="str">
        <f>IFERROR(VLOOKUP(J134,Ngan_hang_cau_hoi!$I$2:$L$142,4,0),"")</f>
        <v/>
      </c>
      <c r="J134" t="str">
        <f>IF(VLOOKUP(D134,Ngan_hang_cau_hoi!$B$2:$K$142,8,0)=G134,G134,"")</f>
        <v/>
      </c>
      <c r="L134">
        <f t="shared" si="5"/>
        <v>4</v>
      </c>
    </row>
    <row r="135" spans="1:12" x14ac:dyDescent="0.25">
      <c r="A135">
        <v>133</v>
      </c>
      <c r="B135" t="str">
        <f>VLOOKUP(D135,Ngan_hang_cau_hoi!$B$2:$K$142,10,0)</f>
        <v>Chương 1</v>
      </c>
      <c r="C135" t="str">
        <f>VLOOKUP(D135,Ngan_hang_cau_hoi!$B$2:$K$142,9,0)</f>
        <v>Trung bình</v>
      </c>
      <c r="D135">
        <f t="shared" si="4"/>
        <v>27</v>
      </c>
      <c r="F135" t="str">
        <f>IF(L135=2,COUNTIF($L$1:L135,2),"")</f>
        <v/>
      </c>
      <c r="G135" t="str">
        <f>VLOOKUP(D135,Ngan_hang_cau_hoi!$B$2:$K$142,L135,0)</f>
        <v>Nano‑ITX</v>
      </c>
      <c r="H135" t="str">
        <f>IFERROR(VLOOKUP(J135,Ngan_hang_cau_hoi!$I$2:$L$142,4,0),"")</f>
        <v/>
      </c>
      <c r="J135" t="str">
        <f>IF(VLOOKUP(D135,Ngan_hang_cau_hoi!$B$2:$K$142,8,0)=G135,G135,"")</f>
        <v/>
      </c>
      <c r="L135">
        <f t="shared" si="5"/>
        <v>5</v>
      </c>
    </row>
    <row r="136" spans="1:12" x14ac:dyDescent="0.25">
      <c r="A136">
        <v>134</v>
      </c>
      <c r="B136" t="str">
        <f>VLOOKUP(D136,Ngan_hang_cau_hoi!$B$2:$K$142,10,0)</f>
        <v>Chương 1</v>
      </c>
      <c r="C136" t="str">
        <f>VLOOKUP(D136,Ngan_hang_cau_hoi!$B$2:$K$142,9,0)</f>
        <v>Trung bình</v>
      </c>
      <c r="D136">
        <f t="shared" si="4"/>
        <v>27</v>
      </c>
      <c r="F136" t="str">
        <f>IF(L136=2,COUNTIF($L$1:L136,2),"")</f>
        <v/>
      </c>
      <c r="G136" t="str">
        <f>VLOOKUP(D136,Ngan_hang_cau_hoi!$B$2:$K$142,L136,0)</f>
        <v>Flex‑ATX</v>
      </c>
      <c r="H136" t="str">
        <f>IFERROR(VLOOKUP(J136,Ngan_hang_cau_hoi!$I$2:$L$142,4,0),"")</f>
        <v/>
      </c>
      <c r="J136" t="str">
        <f>IF(VLOOKUP(D136,Ngan_hang_cau_hoi!$B$2:$K$142,8,0)=G136,G136,"")</f>
        <v/>
      </c>
      <c r="L136">
        <f t="shared" si="5"/>
        <v>6</v>
      </c>
    </row>
    <row r="137" spans="1:12" x14ac:dyDescent="0.25">
      <c r="A137">
        <v>135</v>
      </c>
      <c r="B137" t="str">
        <f>VLOOKUP(D137,Ngan_hang_cau_hoi!$B$2:$K$142,10,0)</f>
        <v>Chương 1</v>
      </c>
      <c r="C137" t="str">
        <f>VLOOKUP(D137,Ngan_hang_cau_hoi!$B$2:$K$142,9,0)</f>
        <v>Trung bình</v>
      </c>
      <c r="D137">
        <f t="shared" si="4"/>
        <v>28</v>
      </c>
      <c r="F137">
        <f>IF(L137=2,COUNTIF($L$1:L137,2),"")</f>
        <v>28</v>
      </c>
      <c r="G137" t="str">
        <f>VLOOKUP(D137,Ngan_hang_cau_hoi!$B$2:$K$142,L137,0)</f>
        <v>Mainboard chỉ hỗ trợ RAM 2666MHz nhưng lắp RAM 3200MHz:</v>
      </c>
      <c r="H137" t="str">
        <f>IFERROR(VLOOKUP(J137,Ngan_hang_cau_hoi!$I$2:$L$142,4,0),"")</f>
        <v/>
      </c>
      <c r="J137" t="str">
        <f>IF(VLOOKUP(D137,Ngan_hang_cau_hoi!$B$2:$K$142,8,0)=G137,G137,"")</f>
        <v/>
      </c>
      <c r="L137">
        <f t="shared" si="5"/>
        <v>2</v>
      </c>
    </row>
    <row r="138" spans="1:12" x14ac:dyDescent="0.25">
      <c r="A138">
        <v>136</v>
      </c>
      <c r="B138" t="str">
        <f>VLOOKUP(D138,Ngan_hang_cau_hoi!$B$2:$K$142,10,0)</f>
        <v>Chương 1</v>
      </c>
      <c r="C138" t="str">
        <f>VLOOKUP(D138,Ngan_hang_cau_hoi!$B$2:$K$142,9,0)</f>
        <v>Trung bình</v>
      </c>
      <c r="D138">
        <f t="shared" si="4"/>
        <v>28</v>
      </c>
      <c r="F138" t="str">
        <f>IF(L138=2,COUNTIF($L$1:L138,2),"")</f>
        <v/>
      </c>
      <c r="G138" t="str">
        <f>VLOOKUP(D138,Ngan_hang_cau_hoi!$B$2:$K$142,L138,0)</f>
        <v>RAM chạy 2666MHz</v>
      </c>
      <c r="H138" t="str">
        <f>IFERROR(VLOOKUP(J138,Ngan_hang_cau_hoi!$I$2:$L$142,4,0),"")</f>
        <v>A</v>
      </c>
      <c r="J138" t="str">
        <f>IF(VLOOKUP(D138,Ngan_hang_cau_hoi!$B$2:$K$142,8,0)=G138,G138,"")</f>
        <v>RAM chạy 2666MHz</v>
      </c>
      <c r="L138">
        <f t="shared" si="5"/>
        <v>3</v>
      </c>
    </row>
    <row r="139" spans="1:12" x14ac:dyDescent="0.25">
      <c r="A139">
        <v>137</v>
      </c>
      <c r="B139" t="str">
        <f>VLOOKUP(D139,Ngan_hang_cau_hoi!$B$2:$K$142,10,0)</f>
        <v>Chương 1</v>
      </c>
      <c r="C139" t="str">
        <f>VLOOKUP(D139,Ngan_hang_cau_hoi!$B$2:$K$142,9,0)</f>
        <v>Trung bình</v>
      </c>
      <c r="D139">
        <f t="shared" si="4"/>
        <v>28</v>
      </c>
      <c r="F139" t="str">
        <f>IF(L139=2,COUNTIF($L$1:L139,2),"")</f>
        <v/>
      </c>
      <c r="G139" t="str">
        <f>VLOOKUP(D139,Ngan_hang_cau_hoi!$B$2:$K$142,L139,0)</f>
        <v>RAM cháy</v>
      </c>
      <c r="H139" t="str">
        <f>IFERROR(VLOOKUP(J139,Ngan_hang_cau_hoi!$I$2:$L$142,4,0),"")</f>
        <v/>
      </c>
      <c r="J139" t="str">
        <f>IF(VLOOKUP(D139,Ngan_hang_cau_hoi!$B$2:$K$142,8,0)=G139,G139,"")</f>
        <v/>
      </c>
      <c r="L139">
        <f t="shared" si="5"/>
        <v>4</v>
      </c>
    </row>
    <row r="140" spans="1:12" x14ac:dyDescent="0.25">
      <c r="A140">
        <v>138</v>
      </c>
      <c r="B140" t="str">
        <f>VLOOKUP(D140,Ngan_hang_cau_hoi!$B$2:$K$142,10,0)</f>
        <v>Chương 1</v>
      </c>
      <c r="C140" t="str">
        <f>VLOOKUP(D140,Ngan_hang_cau_hoi!$B$2:$K$142,9,0)</f>
        <v>Trung bình</v>
      </c>
      <c r="D140">
        <f t="shared" si="4"/>
        <v>28</v>
      </c>
      <c r="F140" t="str">
        <f>IF(L140=2,COUNTIF($L$1:L140,2),"")</f>
        <v/>
      </c>
      <c r="G140" t="str">
        <f>VLOOKUP(D140,Ngan_hang_cau_hoi!$B$2:$K$142,L140,0)</f>
        <v>Máy không chạy</v>
      </c>
      <c r="H140" t="str">
        <f>IFERROR(VLOOKUP(J140,Ngan_hang_cau_hoi!$I$2:$L$142,4,0),"")</f>
        <v/>
      </c>
      <c r="J140" t="str">
        <f>IF(VLOOKUP(D140,Ngan_hang_cau_hoi!$B$2:$K$142,8,0)=G140,G140,"")</f>
        <v/>
      </c>
      <c r="L140">
        <f t="shared" si="5"/>
        <v>5</v>
      </c>
    </row>
    <row r="141" spans="1:12" x14ac:dyDescent="0.25">
      <c r="A141">
        <v>139</v>
      </c>
      <c r="B141" t="str">
        <f>VLOOKUP(D141,Ngan_hang_cau_hoi!$B$2:$K$142,10,0)</f>
        <v>Chương 1</v>
      </c>
      <c r="C141" t="str">
        <f>VLOOKUP(D141,Ngan_hang_cau_hoi!$B$2:$K$142,9,0)</f>
        <v>Trung bình</v>
      </c>
      <c r="D141">
        <f t="shared" si="4"/>
        <v>28</v>
      </c>
      <c r="F141" t="str">
        <f>IF(L141=2,COUNTIF($L$1:L141,2),"")</f>
        <v/>
      </c>
      <c r="G141" t="str">
        <f>VLOOKUP(D141,Ngan_hang_cau_hoi!$B$2:$K$142,L141,0)</f>
        <v>RAM chạy 3200MHz</v>
      </c>
      <c r="H141" t="str">
        <f>IFERROR(VLOOKUP(J141,Ngan_hang_cau_hoi!$I$2:$L$142,4,0),"")</f>
        <v/>
      </c>
      <c r="J141" t="str">
        <f>IF(VLOOKUP(D141,Ngan_hang_cau_hoi!$B$2:$K$142,8,0)=G141,G141,"")</f>
        <v/>
      </c>
      <c r="L141">
        <f t="shared" si="5"/>
        <v>6</v>
      </c>
    </row>
    <row r="142" spans="1:12" x14ac:dyDescent="0.25">
      <c r="A142">
        <v>140</v>
      </c>
      <c r="B142" t="str">
        <f>VLOOKUP(D142,Ngan_hang_cau_hoi!$B$2:$K$142,10,0)</f>
        <v>Chương 1</v>
      </c>
      <c r="C142" t="str">
        <f>VLOOKUP(D142,Ngan_hang_cau_hoi!$B$2:$K$142,9,0)</f>
        <v>Trung bình</v>
      </c>
      <c r="D142">
        <f t="shared" si="4"/>
        <v>29</v>
      </c>
      <c r="F142">
        <f>IF(L142=2,COUNTIF($L$1:L142,2),"")</f>
        <v>29</v>
      </c>
      <c r="G142" t="str">
        <f>VLOOKUP(D142,Ngan_hang_cau_hoi!$B$2:$K$142,L142,0)</f>
        <v>Lắp CPU Intel Gen 12 cần loại socket nào?</v>
      </c>
      <c r="H142" t="str">
        <f>IFERROR(VLOOKUP(J142,Ngan_hang_cau_hoi!$I$2:$L$142,4,0),"")</f>
        <v/>
      </c>
      <c r="J142" t="str">
        <f>IF(VLOOKUP(D142,Ngan_hang_cau_hoi!$B$2:$K$142,8,0)=G142,G142,"")</f>
        <v/>
      </c>
      <c r="L142">
        <f t="shared" si="5"/>
        <v>2</v>
      </c>
    </row>
    <row r="143" spans="1:12" x14ac:dyDescent="0.25">
      <c r="A143">
        <v>141</v>
      </c>
      <c r="B143" t="str">
        <f>VLOOKUP(D143,Ngan_hang_cau_hoi!$B$2:$K$142,10,0)</f>
        <v>Chương 1</v>
      </c>
      <c r="C143" t="str">
        <f>VLOOKUP(D143,Ngan_hang_cau_hoi!$B$2:$K$142,9,0)</f>
        <v>Trung bình</v>
      </c>
      <c r="D143">
        <f t="shared" si="4"/>
        <v>29</v>
      </c>
      <c r="F143" t="str">
        <f>IF(L143=2,COUNTIF($L$1:L143,2),"")</f>
        <v/>
      </c>
      <c r="G143" t="str">
        <f>VLOOKUP(D143,Ngan_hang_cau_hoi!$B$2:$K$142,L143,0)</f>
        <v>LGA1151</v>
      </c>
      <c r="H143" t="str">
        <f>IFERROR(VLOOKUP(J143,Ngan_hang_cau_hoi!$I$2:$L$142,4,0),"")</f>
        <v/>
      </c>
      <c r="J143" t="str">
        <f>IF(VLOOKUP(D143,Ngan_hang_cau_hoi!$B$2:$K$142,8,0)=G143,G143,"")</f>
        <v/>
      </c>
      <c r="L143">
        <f t="shared" si="5"/>
        <v>3</v>
      </c>
    </row>
    <row r="144" spans="1:12" x14ac:dyDescent="0.25">
      <c r="A144">
        <v>142</v>
      </c>
      <c r="B144" t="str">
        <f>VLOOKUP(D144,Ngan_hang_cau_hoi!$B$2:$K$142,10,0)</f>
        <v>Chương 1</v>
      </c>
      <c r="C144" t="str">
        <f>VLOOKUP(D144,Ngan_hang_cau_hoi!$B$2:$K$142,9,0)</f>
        <v>Trung bình</v>
      </c>
      <c r="D144">
        <f t="shared" si="4"/>
        <v>29</v>
      </c>
      <c r="F144" t="str">
        <f>IF(L144=2,COUNTIF($L$1:L144,2),"")</f>
        <v/>
      </c>
      <c r="G144" t="str">
        <f>VLOOKUP(D144,Ngan_hang_cau_hoi!$B$2:$K$142,L144,0)</f>
        <v>LGA1200</v>
      </c>
      <c r="H144" t="str">
        <f>IFERROR(VLOOKUP(J144,Ngan_hang_cau_hoi!$I$2:$L$142,4,0),"")</f>
        <v/>
      </c>
      <c r="J144" t="str">
        <f>IF(VLOOKUP(D144,Ngan_hang_cau_hoi!$B$2:$K$142,8,0)=G144,G144,"")</f>
        <v/>
      </c>
      <c r="L144">
        <f t="shared" si="5"/>
        <v>4</v>
      </c>
    </row>
    <row r="145" spans="1:12" x14ac:dyDescent="0.25">
      <c r="A145">
        <v>143</v>
      </c>
      <c r="B145" t="str">
        <f>VLOOKUP(D145,Ngan_hang_cau_hoi!$B$2:$K$142,10,0)</f>
        <v>Chương 1</v>
      </c>
      <c r="C145" t="str">
        <f>VLOOKUP(D145,Ngan_hang_cau_hoi!$B$2:$K$142,9,0)</f>
        <v>Trung bình</v>
      </c>
      <c r="D145">
        <f t="shared" si="4"/>
        <v>29</v>
      </c>
      <c r="F145" t="str">
        <f>IF(L145=2,COUNTIF($L$1:L145,2),"")</f>
        <v/>
      </c>
      <c r="G145" t="str">
        <f>VLOOKUP(D145,Ngan_hang_cau_hoi!$B$2:$K$142,L145,0)</f>
        <v>LGA1700</v>
      </c>
      <c r="H145" t="str">
        <f>IFERROR(VLOOKUP(J145,Ngan_hang_cau_hoi!$I$2:$L$142,4,0),"")</f>
        <v>C</v>
      </c>
      <c r="J145" t="str">
        <f>IF(VLOOKUP(D145,Ngan_hang_cau_hoi!$B$2:$K$142,8,0)=G145,G145,"")</f>
        <v>LGA1700</v>
      </c>
      <c r="L145">
        <f t="shared" si="5"/>
        <v>5</v>
      </c>
    </row>
    <row r="146" spans="1:12" x14ac:dyDescent="0.25">
      <c r="A146">
        <v>144</v>
      </c>
      <c r="B146" t="str">
        <f>VLOOKUP(D146,Ngan_hang_cau_hoi!$B$2:$K$142,10,0)</f>
        <v>Chương 1</v>
      </c>
      <c r="C146" t="str">
        <f>VLOOKUP(D146,Ngan_hang_cau_hoi!$B$2:$K$142,9,0)</f>
        <v>Trung bình</v>
      </c>
      <c r="D146">
        <f t="shared" si="4"/>
        <v>29</v>
      </c>
      <c r="F146" t="str">
        <f>IF(L146=2,COUNTIF($L$1:L146,2),"")</f>
        <v/>
      </c>
      <c r="G146" t="str">
        <f>VLOOKUP(D146,Ngan_hang_cau_hoi!$B$2:$K$142,L146,0)</f>
        <v>AM4</v>
      </c>
      <c r="H146" t="str">
        <f>IFERROR(VLOOKUP(J146,Ngan_hang_cau_hoi!$I$2:$L$142,4,0),"")</f>
        <v/>
      </c>
      <c r="J146" t="str">
        <f>IF(VLOOKUP(D146,Ngan_hang_cau_hoi!$B$2:$K$142,8,0)=G146,G146,"")</f>
        <v/>
      </c>
      <c r="L146">
        <f t="shared" si="5"/>
        <v>6</v>
      </c>
    </row>
    <row r="147" spans="1:12" x14ac:dyDescent="0.25">
      <c r="A147">
        <v>145</v>
      </c>
      <c r="B147" t="str">
        <f>VLOOKUP(D147,Ngan_hang_cau_hoi!$B$2:$K$142,10,0)</f>
        <v>Chương 1</v>
      </c>
      <c r="C147" t="str">
        <f>VLOOKUP(D147,Ngan_hang_cau_hoi!$B$2:$K$142,9,0)</f>
        <v>Trung bình</v>
      </c>
      <c r="D147">
        <f t="shared" si="4"/>
        <v>30</v>
      </c>
      <c r="F147">
        <f>IF(L147=2,COUNTIF($L$1:L147,2),"")</f>
        <v>30</v>
      </c>
      <c r="G147" t="str">
        <f>VLOOKUP(D147,Ngan_hang_cau_hoi!$B$2:$K$142,L147,0)</f>
        <v>Khi lắp RAM sai khe trên mainboard hỗ trợ dual channel thì điều gì xảy ra?</v>
      </c>
      <c r="H147" t="str">
        <f>IFERROR(VLOOKUP(J147,Ngan_hang_cau_hoi!$I$2:$L$142,4,0),"")</f>
        <v/>
      </c>
      <c r="J147" t="str">
        <f>IF(VLOOKUP(D147,Ngan_hang_cau_hoi!$B$2:$K$142,8,0)=G147,G147,"")</f>
        <v/>
      </c>
      <c r="L147">
        <f t="shared" si="5"/>
        <v>2</v>
      </c>
    </row>
    <row r="148" spans="1:12" x14ac:dyDescent="0.25">
      <c r="A148">
        <v>146</v>
      </c>
      <c r="B148" t="str">
        <f>VLOOKUP(D148,Ngan_hang_cau_hoi!$B$2:$K$142,10,0)</f>
        <v>Chương 1</v>
      </c>
      <c r="C148" t="str">
        <f>VLOOKUP(D148,Ngan_hang_cau_hoi!$B$2:$K$142,9,0)</f>
        <v>Trung bình</v>
      </c>
      <c r="D148">
        <f t="shared" si="4"/>
        <v>30</v>
      </c>
      <c r="F148" t="str">
        <f>IF(L148=2,COUNTIF($L$1:L148,2),"")</f>
        <v/>
      </c>
      <c r="G148" t="str">
        <f>VLOOKUP(D148,Ngan_hang_cau_hoi!$B$2:$K$142,L148,0)</f>
        <v>Không chạy dual channel</v>
      </c>
      <c r="H148" t="str">
        <f>IFERROR(VLOOKUP(J148,Ngan_hang_cau_hoi!$I$2:$L$142,4,0),"")</f>
        <v>A</v>
      </c>
      <c r="J148" t="str">
        <f>IF(VLOOKUP(D148,Ngan_hang_cau_hoi!$B$2:$K$142,8,0)=G148,G148,"")</f>
        <v>Không chạy dual channel</v>
      </c>
      <c r="L148">
        <f t="shared" si="5"/>
        <v>3</v>
      </c>
    </row>
    <row r="149" spans="1:12" x14ac:dyDescent="0.25">
      <c r="A149">
        <v>147</v>
      </c>
      <c r="B149" t="str">
        <f>VLOOKUP(D149,Ngan_hang_cau_hoi!$B$2:$K$142,10,0)</f>
        <v>Chương 1</v>
      </c>
      <c r="C149" t="str">
        <f>VLOOKUP(D149,Ngan_hang_cau_hoi!$B$2:$K$142,9,0)</f>
        <v>Trung bình</v>
      </c>
      <c r="D149">
        <f t="shared" si="4"/>
        <v>30</v>
      </c>
      <c r="F149" t="str">
        <f>IF(L149=2,COUNTIF($L$1:L149,2),"")</f>
        <v/>
      </c>
      <c r="G149" t="str">
        <f>VLOOKUP(D149,Ngan_hang_cau_hoi!$B$2:$K$142,L149,0)</f>
        <v>Không lên nguồn</v>
      </c>
      <c r="H149" t="str">
        <f>IFERROR(VLOOKUP(J149,Ngan_hang_cau_hoi!$I$2:$L$142,4,0),"")</f>
        <v/>
      </c>
      <c r="J149" t="str">
        <f>IF(VLOOKUP(D149,Ngan_hang_cau_hoi!$B$2:$K$142,8,0)=G149,G149,"")</f>
        <v/>
      </c>
      <c r="L149">
        <f t="shared" si="5"/>
        <v>4</v>
      </c>
    </row>
    <row r="150" spans="1:12" x14ac:dyDescent="0.25">
      <c r="A150">
        <v>148</v>
      </c>
      <c r="B150" t="str">
        <f>VLOOKUP(D150,Ngan_hang_cau_hoi!$B$2:$K$142,10,0)</f>
        <v>Chương 1</v>
      </c>
      <c r="C150" t="str">
        <f>VLOOKUP(D150,Ngan_hang_cau_hoi!$B$2:$K$142,9,0)</f>
        <v>Trung bình</v>
      </c>
      <c r="D150">
        <f t="shared" si="4"/>
        <v>30</v>
      </c>
      <c r="F150" t="str">
        <f>IF(L150=2,COUNTIF($L$1:L150,2),"")</f>
        <v/>
      </c>
      <c r="G150" t="str">
        <f>VLOOKUP(D150,Ngan_hang_cau_hoi!$B$2:$K$142,L150,0)</f>
        <v>Hỏng RAM</v>
      </c>
      <c r="H150" t="str">
        <f>IFERROR(VLOOKUP(J150,Ngan_hang_cau_hoi!$I$2:$L$142,4,0),"")</f>
        <v/>
      </c>
      <c r="J150" t="str">
        <f>IF(VLOOKUP(D150,Ngan_hang_cau_hoi!$B$2:$K$142,8,0)=G150,G150,"")</f>
        <v/>
      </c>
      <c r="L150">
        <f t="shared" si="5"/>
        <v>5</v>
      </c>
    </row>
    <row r="151" spans="1:12" x14ac:dyDescent="0.25">
      <c r="A151">
        <v>149</v>
      </c>
      <c r="B151" t="str">
        <f>VLOOKUP(D151,Ngan_hang_cau_hoi!$B$2:$K$142,10,0)</f>
        <v>Chương 1</v>
      </c>
      <c r="C151" t="str">
        <f>VLOOKUP(D151,Ngan_hang_cau_hoi!$B$2:$K$142,9,0)</f>
        <v>Trung bình</v>
      </c>
      <c r="D151">
        <f t="shared" si="4"/>
        <v>30</v>
      </c>
      <c r="F151" t="str">
        <f>IF(L151=2,COUNTIF($L$1:L151,2),"")</f>
        <v/>
      </c>
      <c r="G151" t="str">
        <f>VLOOKUP(D151,Ngan_hang_cau_hoi!$B$2:$K$142,L151,0)</f>
        <v>Cháy main</v>
      </c>
      <c r="H151" t="str">
        <f>IFERROR(VLOOKUP(J151,Ngan_hang_cau_hoi!$I$2:$L$142,4,0),"")</f>
        <v/>
      </c>
      <c r="J151" t="str">
        <f>IF(VLOOKUP(D151,Ngan_hang_cau_hoi!$B$2:$K$142,8,0)=G151,G151,"")</f>
        <v/>
      </c>
      <c r="L151">
        <f t="shared" si="5"/>
        <v>6</v>
      </c>
    </row>
    <row r="152" spans="1:12" x14ac:dyDescent="0.25">
      <c r="A152">
        <v>150</v>
      </c>
      <c r="B152" t="str">
        <f>VLOOKUP(D152,Ngan_hang_cau_hoi!$B$2:$K$142,10,0)</f>
        <v>Chương 1</v>
      </c>
      <c r="C152" t="str">
        <f>VLOOKUP(D152,Ngan_hang_cau_hoi!$B$2:$K$142,9,0)</f>
        <v>Trung bình</v>
      </c>
      <c r="D152">
        <f t="shared" si="4"/>
        <v>31</v>
      </c>
      <c r="F152">
        <f>IF(L152=2,COUNTIF($L$1:L152,2),"")</f>
        <v>31</v>
      </c>
      <c r="G152" t="str">
        <f>VLOOKUP(D152,Ngan_hang_cau_hoi!$B$2:$K$142,L152,0)</f>
        <v>Khi lắp NVMe cần:</v>
      </c>
      <c r="H152" t="str">
        <f>IFERROR(VLOOKUP(J152,Ngan_hang_cau_hoi!$I$2:$L$142,4,0),"")</f>
        <v/>
      </c>
      <c r="J152" t="str">
        <f>IF(VLOOKUP(D152,Ngan_hang_cau_hoi!$B$2:$K$142,8,0)=G152,G152,"")</f>
        <v/>
      </c>
      <c r="L152">
        <f t="shared" si="5"/>
        <v>2</v>
      </c>
    </row>
    <row r="153" spans="1:12" x14ac:dyDescent="0.25">
      <c r="A153">
        <v>151</v>
      </c>
      <c r="B153" t="str">
        <f>VLOOKUP(D153,Ngan_hang_cau_hoi!$B$2:$K$142,10,0)</f>
        <v>Chương 1</v>
      </c>
      <c r="C153" t="str">
        <f>VLOOKUP(D153,Ngan_hang_cau_hoi!$B$2:$K$142,9,0)</f>
        <v>Trung bình</v>
      </c>
      <c r="D153">
        <f t="shared" si="4"/>
        <v>31</v>
      </c>
      <c r="F153" t="str">
        <f>IF(L153=2,COUNTIF($L$1:L153,2),"")</f>
        <v/>
      </c>
      <c r="G153" t="str">
        <f>VLOOKUP(D153,Ngan_hang_cau_hoi!$B$2:$K$142,L153,0)</f>
        <v>khe M.2</v>
      </c>
      <c r="H153" t="str">
        <f>IFERROR(VLOOKUP(J153,Ngan_hang_cau_hoi!$I$2:$L$142,4,0),"")</f>
        <v>A</v>
      </c>
      <c r="J153" t="str">
        <f>IF(VLOOKUP(D153,Ngan_hang_cau_hoi!$B$2:$K$142,8,0)=G153,G153,"")</f>
        <v>khe M.2</v>
      </c>
      <c r="L153">
        <f t="shared" si="5"/>
        <v>3</v>
      </c>
    </row>
    <row r="154" spans="1:12" x14ac:dyDescent="0.25">
      <c r="A154">
        <v>152</v>
      </c>
      <c r="B154" t="str">
        <f>VLOOKUP(D154,Ngan_hang_cau_hoi!$B$2:$K$142,10,0)</f>
        <v>Chương 1</v>
      </c>
      <c r="C154" t="str">
        <f>VLOOKUP(D154,Ngan_hang_cau_hoi!$B$2:$K$142,9,0)</f>
        <v>Trung bình</v>
      </c>
      <c r="D154">
        <f t="shared" si="4"/>
        <v>31</v>
      </c>
      <c r="F154" t="str">
        <f>IF(L154=2,COUNTIF($L$1:L154,2),"")</f>
        <v/>
      </c>
      <c r="G154" t="str">
        <f>VLOOKUP(D154,Ngan_hang_cau_hoi!$B$2:$K$142,L154,0)</f>
        <v>khe PCI</v>
      </c>
      <c r="H154" t="str">
        <f>IFERROR(VLOOKUP(J154,Ngan_hang_cau_hoi!$I$2:$L$142,4,0),"")</f>
        <v/>
      </c>
      <c r="J154" t="str">
        <f>IF(VLOOKUP(D154,Ngan_hang_cau_hoi!$B$2:$K$142,8,0)=G154,G154,"")</f>
        <v/>
      </c>
      <c r="L154">
        <f t="shared" si="5"/>
        <v>4</v>
      </c>
    </row>
    <row r="155" spans="1:12" x14ac:dyDescent="0.25">
      <c r="A155">
        <v>153</v>
      </c>
      <c r="B155" t="str">
        <f>VLOOKUP(D155,Ngan_hang_cau_hoi!$B$2:$K$142,10,0)</f>
        <v>Chương 1</v>
      </c>
      <c r="C155" t="str">
        <f>VLOOKUP(D155,Ngan_hang_cau_hoi!$B$2:$K$142,9,0)</f>
        <v>Trung bình</v>
      </c>
      <c r="D155">
        <f t="shared" si="4"/>
        <v>31</v>
      </c>
      <c r="F155" t="str">
        <f>IF(L155=2,COUNTIF($L$1:L155,2),"")</f>
        <v/>
      </c>
      <c r="G155" t="str">
        <f>VLOOKUP(D155,Ngan_hang_cau_hoi!$B$2:$K$142,L155,0)</f>
        <v>SATA</v>
      </c>
      <c r="H155" t="str">
        <f>IFERROR(VLOOKUP(J155,Ngan_hang_cau_hoi!$I$2:$L$142,4,0),"")</f>
        <v/>
      </c>
      <c r="J155" t="str">
        <f>IF(VLOOKUP(D155,Ngan_hang_cau_hoi!$B$2:$K$142,8,0)=G155,G155,"")</f>
        <v/>
      </c>
      <c r="L155">
        <f t="shared" si="5"/>
        <v>5</v>
      </c>
    </row>
    <row r="156" spans="1:12" x14ac:dyDescent="0.25">
      <c r="A156">
        <v>154</v>
      </c>
      <c r="B156" t="str">
        <f>VLOOKUP(D156,Ngan_hang_cau_hoi!$B$2:$K$142,10,0)</f>
        <v>Chương 1</v>
      </c>
      <c r="C156" t="str">
        <f>VLOOKUP(D156,Ngan_hang_cau_hoi!$B$2:$K$142,9,0)</f>
        <v>Trung bình</v>
      </c>
      <c r="D156">
        <f t="shared" si="4"/>
        <v>31</v>
      </c>
      <c r="F156" t="str">
        <f>IF(L156=2,COUNTIF($L$1:L156,2),"")</f>
        <v/>
      </c>
      <c r="G156" t="str">
        <f>VLOOKUP(D156,Ngan_hang_cau_hoi!$B$2:$K$142,L156,0)</f>
        <v>RAM slot</v>
      </c>
      <c r="H156" t="str">
        <f>IFERROR(VLOOKUP(J156,Ngan_hang_cau_hoi!$I$2:$L$142,4,0),"")</f>
        <v/>
      </c>
      <c r="J156" t="str">
        <f>IF(VLOOKUP(D156,Ngan_hang_cau_hoi!$B$2:$K$142,8,0)=G156,G156,"")</f>
        <v/>
      </c>
      <c r="L156">
        <f t="shared" si="5"/>
        <v>6</v>
      </c>
    </row>
    <row r="157" spans="1:12" x14ac:dyDescent="0.25">
      <c r="A157">
        <v>155</v>
      </c>
      <c r="B157" t="str">
        <f>VLOOKUP(D157,Ngan_hang_cau_hoi!$B$2:$K$142,10,0)</f>
        <v>Chương 1</v>
      </c>
      <c r="C157" t="str">
        <f>VLOOKUP(D157,Ngan_hang_cau_hoi!$B$2:$K$142,9,0)</f>
        <v>Trung bình</v>
      </c>
      <c r="D157">
        <f t="shared" si="4"/>
        <v>32</v>
      </c>
      <c r="F157">
        <f>IF(L157=2,COUNTIF($L$1:L157,2),"")</f>
        <v>32</v>
      </c>
      <c r="G157" t="str">
        <f>VLOOKUP(D157,Ngan_hang_cau_hoi!$B$2:$K$142,L157,0)</f>
        <v>Hai thanh RAM cùng loại DDR3 nhưng có bus là 1333MHz và 1600MHz thì khi cắm:</v>
      </c>
      <c r="H157" t="str">
        <f>IFERROR(VLOOKUP(J157,Ngan_hang_cau_hoi!$I$2:$L$142,4,0),"")</f>
        <v/>
      </c>
      <c r="J157" t="str">
        <f>IF(VLOOKUP(D157,Ngan_hang_cau_hoi!$B$2:$K$142,8,0)=G157,G157,"")</f>
        <v/>
      </c>
      <c r="L157">
        <f t="shared" si="5"/>
        <v>2</v>
      </c>
    </row>
    <row r="158" spans="1:12" x14ac:dyDescent="0.25">
      <c r="A158">
        <v>156</v>
      </c>
      <c r="B158" t="str">
        <f>VLOOKUP(D158,Ngan_hang_cau_hoi!$B$2:$K$142,10,0)</f>
        <v>Chương 1</v>
      </c>
      <c r="C158" t="str">
        <f>VLOOKUP(D158,Ngan_hang_cau_hoi!$B$2:$K$142,9,0)</f>
        <v>Trung bình</v>
      </c>
      <c r="D158">
        <f t="shared" si="4"/>
        <v>32</v>
      </c>
      <c r="F158" t="str">
        <f>IF(L158=2,COUNTIF($L$1:L158,2),"")</f>
        <v/>
      </c>
      <c r="G158" t="str">
        <f>VLOOKUP(D158,Ngan_hang_cau_hoi!$B$2:$K$142,L158,0)</f>
        <v>Không chạy được</v>
      </c>
      <c r="H158" t="str">
        <f>IFERROR(VLOOKUP(J158,Ngan_hang_cau_hoi!$I$2:$L$142,4,0),"")</f>
        <v/>
      </c>
      <c r="J158" t="str">
        <f>IF(VLOOKUP(D158,Ngan_hang_cau_hoi!$B$2:$K$142,8,0)=G158,G158,"")</f>
        <v/>
      </c>
      <c r="L158">
        <f t="shared" si="5"/>
        <v>3</v>
      </c>
    </row>
    <row r="159" spans="1:12" x14ac:dyDescent="0.25">
      <c r="A159">
        <v>157</v>
      </c>
      <c r="B159" t="str">
        <f>VLOOKUP(D159,Ngan_hang_cau_hoi!$B$2:$K$142,10,0)</f>
        <v>Chương 1</v>
      </c>
      <c r="C159" t="str">
        <f>VLOOKUP(D159,Ngan_hang_cau_hoi!$B$2:$K$142,9,0)</f>
        <v>Trung bình</v>
      </c>
      <c r="D159">
        <f t="shared" si="4"/>
        <v>32</v>
      </c>
      <c r="F159" t="str">
        <f>IF(L159=2,COUNTIF($L$1:L159,2),"")</f>
        <v/>
      </c>
      <c r="G159" t="str">
        <f>VLOOKUP(D159,Ngan_hang_cau_hoi!$B$2:$K$142,L159,0)</f>
        <v>Chạy ở 2666 MHz</v>
      </c>
      <c r="H159" t="str">
        <f>IFERROR(VLOOKUP(J159,Ngan_hang_cau_hoi!$I$2:$L$142,4,0),"")</f>
        <v>B</v>
      </c>
      <c r="J159" t="str">
        <f>IF(VLOOKUP(D159,Ngan_hang_cau_hoi!$B$2:$K$142,8,0)=G159,G159,"")</f>
        <v>Chạy ở 2666 MHz</v>
      </c>
      <c r="L159">
        <f t="shared" si="5"/>
        <v>4</v>
      </c>
    </row>
    <row r="160" spans="1:12" x14ac:dyDescent="0.25">
      <c r="A160">
        <v>158</v>
      </c>
      <c r="B160" t="str">
        <f>VLOOKUP(D160,Ngan_hang_cau_hoi!$B$2:$K$142,10,0)</f>
        <v>Chương 1</v>
      </c>
      <c r="C160" t="str">
        <f>VLOOKUP(D160,Ngan_hang_cau_hoi!$B$2:$K$142,9,0)</f>
        <v>Trung bình</v>
      </c>
      <c r="D160">
        <f t="shared" si="4"/>
        <v>32</v>
      </c>
      <c r="F160" t="str">
        <f>IF(L160=2,COUNTIF($L$1:L160,2),"")</f>
        <v/>
      </c>
      <c r="G160" t="str">
        <f>VLOOKUP(D160,Ngan_hang_cau_hoi!$B$2:$K$142,L160,0)</f>
        <v>Hỏng RAM</v>
      </c>
      <c r="H160" t="str">
        <f>IFERROR(VLOOKUP(J160,Ngan_hang_cau_hoi!$I$2:$L$142,4,0),"")</f>
        <v/>
      </c>
      <c r="J160" t="str">
        <f>IF(VLOOKUP(D160,Ngan_hang_cau_hoi!$B$2:$K$142,8,0)=G160,G160,"")</f>
        <v/>
      </c>
      <c r="L160">
        <f t="shared" si="5"/>
        <v>5</v>
      </c>
    </row>
    <row r="161" spans="1:12" x14ac:dyDescent="0.25">
      <c r="A161">
        <v>159</v>
      </c>
      <c r="B161" t="str">
        <f>VLOOKUP(D161,Ngan_hang_cau_hoi!$B$2:$K$142,10,0)</f>
        <v>Chương 1</v>
      </c>
      <c r="C161" t="str">
        <f>VLOOKUP(D161,Ngan_hang_cau_hoi!$B$2:$K$142,9,0)</f>
        <v>Trung bình</v>
      </c>
      <c r="D161">
        <f t="shared" si="4"/>
        <v>32</v>
      </c>
      <c r="F161" t="str">
        <f>IF(L161=2,COUNTIF($L$1:L161,2),"")</f>
        <v/>
      </c>
      <c r="G161" t="str">
        <f>VLOOKUP(D161,Ngan_hang_cau_hoi!$B$2:$K$142,L161,0)</f>
        <v>Không nhận RAM</v>
      </c>
      <c r="H161" t="str">
        <f>IFERROR(VLOOKUP(J161,Ngan_hang_cau_hoi!$I$2:$L$142,4,0),"")</f>
        <v/>
      </c>
      <c r="J161" t="str">
        <f>IF(VLOOKUP(D161,Ngan_hang_cau_hoi!$B$2:$K$142,8,0)=G161,G161,"")</f>
        <v/>
      </c>
      <c r="L161">
        <f t="shared" si="5"/>
        <v>6</v>
      </c>
    </row>
    <row r="162" spans="1:12" x14ac:dyDescent="0.25">
      <c r="A162">
        <v>160</v>
      </c>
      <c r="B162" t="str">
        <f>VLOOKUP(D162,Ngan_hang_cau_hoi!$B$2:$K$142,10,0)</f>
        <v>Chương 1</v>
      </c>
      <c r="C162" t="str">
        <f>VLOOKUP(D162,Ngan_hang_cau_hoi!$B$2:$K$142,9,0)</f>
        <v>Trung bình</v>
      </c>
      <c r="D162">
        <f t="shared" si="4"/>
        <v>33</v>
      </c>
      <c r="F162">
        <f>IF(L162=2,COUNTIF($L$1:L162,2),"")</f>
        <v>33</v>
      </c>
      <c r="G162" t="str">
        <f>VLOOKUP(D162,Ngan_hang_cau_hoi!$B$2:$K$142,L162,0)</f>
        <v>GPU rời cần cấp thêm nguồn từ đâu?</v>
      </c>
      <c r="H162" t="str">
        <f>IFERROR(VLOOKUP(J162,Ngan_hang_cau_hoi!$I$2:$L$142,4,0),"")</f>
        <v/>
      </c>
      <c r="J162" t="str">
        <f>IF(VLOOKUP(D162,Ngan_hang_cau_hoi!$B$2:$K$142,8,0)=G162,G162,"")</f>
        <v/>
      </c>
      <c r="L162">
        <f t="shared" si="5"/>
        <v>2</v>
      </c>
    </row>
    <row r="163" spans="1:12" x14ac:dyDescent="0.25">
      <c r="A163">
        <v>161</v>
      </c>
      <c r="B163" t="str">
        <f>VLOOKUP(D163,Ngan_hang_cau_hoi!$B$2:$K$142,10,0)</f>
        <v>Chương 1</v>
      </c>
      <c r="C163" t="str">
        <f>VLOOKUP(D163,Ngan_hang_cau_hoi!$B$2:$K$142,9,0)</f>
        <v>Trung bình</v>
      </c>
      <c r="D163">
        <f t="shared" si="4"/>
        <v>33</v>
      </c>
      <c r="F163" t="str">
        <f>IF(L163=2,COUNTIF($L$1:L163,2),"")</f>
        <v/>
      </c>
      <c r="G163" t="str">
        <f>VLOOKUP(D163,Ngan_hang_cau_hoi!$B$2:$K$142,L163,0)</f>
        <v>PSU qua cáp PCIe</v>
      </c>
      <c r="H163" t="str">
        <f>IFERROR(VLOOKUP(J163,Ngan_hang_cau_hoi!$I$2:$L$142,4,0),"")</f>
        <v>A</v>
      </c>
      <c r="J163" t="str">
        <f>IF(VLOOKUP(D163,Ngan_hang_cau_hoi!$B$2:$K$142,8,0)=G163,G163,"")</f>
        <v>PSU qua cáp PCIe</v>
      </c>
      <c r="L163">
        <f t="shared" si="5"/>
        <v>3</v>
      </c>
    </row>
    <row r="164" spans="1:12" x14ac:dyDescent="0.25">
      <c r="A164">
        <v>162</v>
      </c>
      <c r="B164" t="str">
        <f>VLOOKUP(D164,Ngan_hang_cau_hoi!$B$2:$K$142,10,0)</f>
        <v>Chương 1</v>
      </c>
      <c r="C164" t="str">
        <f>VLOOKUP(D164,Ngan_hang_cau_hoi!$B$2:$K$142,9,0)</f>
        <v>Trung bình</v>
      </c>
      <c r="D164">
        <f t="shared" si="4"/>
        <v>33</v>
      </c>
      <c r="F164" t="str">
        <f>IF(L164=2,COUNTIF($L$1:L164,2),"")</f>
        <v/>
      </c>
      <c r="G164" t="str">
        <f>VLOOKUP(D164,Ngan_hang_cau_hoi!$B$2:$K$142,L164,0)</f>
        <v>RAM slot</v>
      </c>
      <c r="H164" t="str">
        <f>IFERROR(VLOOKUP(J164,Ngan_hang_cau_hoi!$I$2:$L$142,4,0),"")</f>
        <v/>
      </c>
      <c r="J164" t="str">
        <f>IF(VLOOKUP(D164,Ngan_hang_cau_hoi!$B$2:$K$142,8,0)=G164,G164,"")</f>
        <v/>
      </c>
      <c r="L164">
        <f t="shared" si="5"/>
        <v>4</v>
      </c>
    </row>
    <row r="165" spans="1:12" x14ac:dyDescent="0.25">
      <c r="A165">
        <v>163</v>
      </c>
      <c r="B165" t="str">
        <f>VLOOKUP(D165,Ngan_hang_cau_hoi!$B$2:$K$142,10,0)</f>
        <v>Chương 1</v>
      </c>
      <c r="C165" t="str">
        <f>VLOOKUP(D165,Ngan_hang_cau_hoi!$B$2:$K$142,9,0)</f>
        <v>Trung bình</v>
      </c>
      <c r="D165">
        <f t="shared" si="4"/>
        <v>33</v>
      </c>
      <c r="F165" t="str">
        <f>IF(L165=2,COUNTIF($L$1:L165,2),"")</f>
        <v/>
      </c>
      <c r="G165" t="str">
        <f>VLOOKUP(D165,Ngan_hang_cau_hoi!$B$2:$K$142,L165,0)</f>
        <v>SATA cable</v>
      </c>
      <c r="H165" t="str">
        <f>IFERROR(VLOOKUP(J165,Ngan_hang_cau_hoi!$I$2:$L$142,4,0),"")</f>
        <v/>
      </c>
      <c r="J165" t="str">
        <f>IF(VLOOKUP(D165,Ngan_hang_cau_hoi!$B$2:$K$142,8,0)=G165,G165,"")</f>
        <v/>
      </c>
      <c r="L165">
        <f t="shared" si="5"/>
        <v>5</v>
      </c>
    </row>
    <row r="166" spans="1:12" x14ac:dyDescent="0.25">
      <c r="A166">
        <v>164</v>
      </c>
      <c r="B166" t="str">
        <f>VLOOKUP(D166,Ngan_hang_cau_hoi!$B$2:$K$142,10,0)</f>
        <v>Chương 1</v>
      </c>
      <c r="C166" t="str">
        <f>VLOOKUP(D166,Ngan_hang_cau_hoi!$B$2:$K$142,9,0)</f>
        <v>Trung bình</v>
      </c>
      <c r="D166">
        <f t="shared" si="4"/>
        <v>33</v>
      </c>
      <c r="F166" t="str">
        <f>IF(L166=2,COUNTIF($L$1:L166,2),"")</f>
        <v/>
      </c>
      <c r="G166" t="str">
        <f>VLOOKUP(D166,Ngan_hang_cau_hoi!$B$2:$K$142,L166,0)</f>
        <v>USB port</v>
      </c>
      <c r="H166" t="str">
        <f>IFERROR(VLOOKUP(J166,Ngan_hang_cau_hoi!$I$2:$L$142,4,0),"")</f>
        <v/>
      </c>
      <c r="J166" t="str">
        <f>IF(VLOOKUP(D166,Ngan_hang_cau_hoi!$B$2:$K$142,8,0)=G166,G166,"")</f>
        <v/>
      </c>
      <c r="L166">
        <f t="shared" si="5"/>
        <v>6</v>
      </c>
    </row>
    <row r="167" spans="1:12" x14ac:dyDescent="0.25">
      <c r="A167">
        <v>165</v>
      </c>
      <c r="B167" t="str">
        <f>VLOOKUP(D167,Ngan_hang_cau_hoi!$B$2:$K$142,10,0)</f>
        <v>Chương 1</v>
      </c>
      <c r="C167" t="str">
        <f>VLOOKUP(D167,Ngan_hang_cau_hoi!$B$2:$K$142,9,0)</f>
        <v>Trung bình</v>
      </c>
      <c r="D167">
        <f t="shared" si="4"/>
        <v>34</v>
      </c>
      <c r="F167">
        <f>IF(L167=2,COUNTIF($L$1:L167,2),"")</f>
        <v>34</v>
      </c>
      <c r="G167" t="str">
        <f>VLOOKUP(D167,Ngan_hang_cau_hoi!$B$2:$K$142,L167,0)</f>
        <v>Điều kiện để RAM chạy Dual Channel</v>
      </c>
      <c r="H167" t="str">
        <f>IFERROR(VLOOKUP(J167,Ngan_hang_cau_hoi!$I$2:$L$142,4,0),"")</f>
        <v/>
      </c>
      <c r="J167" t="str">
        <f>IF(VLOOKUP(D167,Ngan_hang_cau_hoi!$B$2:$K$142,8,0)=G167,G167,"")</f>
        <v/>
      </c>
      <c r="L167">
        <f t="shared" si="5"/>
        <v>2</v>
      </c>
    </row>
    <row r="168" spans="1:12" x14ac:dyDescent="0.25">
      <c r="A168">
        <v>166</v>
      </c>
      <c r="B168" t="str">
        <f>VLOOKUP(D168,Ngan_hang_cau_hoi!$B$2:$K$142,10,0)</f>
        <v>Chương 1</v>
      </c>
      <c r="C168" t="str">
        <f>VLOOKUP(D168,Ngan_hang_cau_hoi!$B$2:$K$142,9,0)</f>
        <v>Trung bình</v>
      </c>
      <c r="D168">
        <f t="shared" si="4"/>
        <v>34</v>
      </c>
      <c r="F168" t="str">
        <f>IF(L168=2,COUNTIF($L$1:L168,2),"")</f>
        <v/>
      </c>
      <c r="G168" t="str">
        <f>VLOOKUP(D168,Ngan_hang_cau_hoi!$B$2:$K$142,L168,0)</f>
        <v>Thiết bị phải có ít nhất 2 thanh RAM, cùng loại, cùng bus và có dung lượng giống nhau.</v>
      </c>
      <c r="H168" t="str">
        <f>IFERROR(VLOOKUP(J168,Ngan_hang_cau_hoi!$I$2:$L$142,4,0),"")</f>
        <v>A</v>
      </c>
      <c r="J168" t="str">
        <f>IF(VLOOKUP(D168,Ngan_hang_cau_hoi!$B$2:$K$142,8,0)=G168,G168,"")</f>
        <v>Thiết bị phải có ít nhất 2 thanh RAM, cùng loại, cùng bus và có dung lượng giống nhau.</v>
      </c>
      <c r="L168">
        <f t="shared" si="5"/>
        <v>3</v>
      </c>
    </row>
    <row r="169" spans="1:12" x14ac:dyDescent="0.25">
      <c r="A169">
        <v>167</v>
      </c>
      <c r="B169" t="str">
        <f>VLOOKUP(D169,Ngan_hang_cau_hoi!$B$2:$K$142,10,0)</f>
        <v>Chương 1</v>
      </c>
      <c r="C169" t="str">
        <f>VLOOKUP(D169,Ngan_hang_cau_hoi!$B$2:$K$142,9,0)</f>
        <v>Trung bình</v>
      </c>
      <c r="D169">
        <f t="shared" si="4"/>
        <v>34</v>
      </c>
      <c r="F169" t="str">
        <f>IF(L169=2,COUNTIF($L$1:L169,2),"")</f>
        <v/>
      </c>
      <c r="G169" t="str">
        <f>VLOOKUP(D169,Ngan_hang_cau_hoi!$B$2:$K$142,L169,0)</f>
        <v>Thiết bị chỉ cần cắm 2 thanh RAM trở lên.</v>
      </c>
      <c r="H169" t="str">
        <f>IFERROR(VLOOKUP(J169,Ngan_hang_cau_hoi!$I$2:$L$142,4,0),"")</f>
        <v/>
      </c>
      <c r="J169" t="str">
        <f>IF(VLOOKUP(D169,Ngan_hang_cau_hoi!$B$2:$K$142,8,0)=G169,G169,"")</f>
        <v/>
      </c>
      <c r="L169">
        <f t="shared" si="5"/>
        <v>4</v>
      </c>
    </row>
    <row r="170" spans="1:12" x14ac:dyDescent="0.25">
      <c r="A170">
        <v>168</v>
      </c>
      <c r="B170" t="str">
        <f>VLOOKUP(D170,Ngan_hang_cau_hoi!$B$2:$K$142,10,0)</f>
        <v>Chương 1</v>
      </c>
      <c r="C170" t="str">
        <f>VLOOKUP(D170,Ngan_hang_cau_hoi!$B$2:$K$142,9,0)</f>
        <v>Trung bình</v>
      </c>
      <c r="D170">
        <f t="shared" si="4"/>
        <v>34</v>
      </c>
      <c r="F170" t="str">
        <f>IF(L170=2,COUNTIF($L$1:L170,2),"")</f>
        <v/>
      </c>
      <c r="G170" t="str">
        <f>VLOOKUP(D170,Ngan_hang_cau_hoi!$B$2:$K$142,L170,0)</f>
        <v>Thiết bị phải có ít nhất 2 thanh RAM, cùng loại, cùng bus và không cần dung lượng giống nhau.</v>
      </c>
      <c r="H170" t="str">
        <f>IFERROR(VLOOKUP(J170,Ngan_hang_cau_hoi!$I$2:$L$142,4,0),"")</f>
        <v/>
      </c>
      <c r="J170" t="str">
        <f>IF(VLOOKUP(D170,Ngan_hang_cau_hoi!$B$2:$K$142,8,0)=G170,G170,"")</f>
        <v/>
      </c>
      <c r="L170">
        <f t="shared" si="5"/>
        <v>5</v>
      </c>
    </row>
    <row r="171" spans="1:12" x14ac:dyDescent="0.25">
      <c r="A171">
        <v>169</v>
      </c>
      <c r="B171" t="str">
        <f>VLOOKUP(D171,Ngan_hang_cau_hoi!$B$2:$K$142,10,0)</f>
        <v>Chương 1</v>
      </c>
      <c r="C171" t="str">
        <f>VLOOKUP(D171,Ngan_hang_cau_hoi!$B$2:$K$142,9,0)</f>
        <v>Trung bình</v>
      </c>
      <c r="D171">
        <f t="shared" si="4"/>
        <v>34</v>
      </c>
      <c r="F171" t="str">
        <f>IF(L171=2,COUNTIF($L$1:L171,2),"")</f>
        <v/>
      </c>
      <c r="G171" t="str">
        <f>VLOOKUP(D171,Ngan_hang_cau_hoi!$B$2:$K$142,L171,0)</f>
        <v>Thiết bị chỉ cần cắm ít nhất 2 thanh RAM cùng bus.</v>
      </c>
      <c r="H171" t="str">
        <f>IFERROR(VLOOKUP(J171,Ngan_hang_cau_hoi!$I$2:$L$142,4,0),"")</f>
        <v/>
      </c>
      <c r="J171" t="str">
        <f>IF(VLOOKUP(D171,Ngan_hang_cau_hoi!$B$2:$K$142,8,0)=G171,G171,"")</f>
        <v/>
      </c>
      <c r="L171">
        <f t="shared" si="5"/>
        <v>6</v>
      </c>
    </row>
    <row r="172" spans="1:12" x14ac:dyDescent="0.25">
      <c r="A172">
        <v>170</v>
      </c>
      <c r="B172" t="str">
        <f>VLOOKUP(D172,Ngan_hang_cau_hoi!$B$2:$K$142,10,0)</f>
        <v>Chương 1</v>
      </c>
      <c r="C172" t="str">
        <f>VLOOKUP(D172,Ngan_hang_cau_hoi!$B$2:$K$142,9,0)</f>
        <v>Trung bình</v>
      </c>
      <c r="D172">
        <f t="shared" si="4"/>
        <v>35</v>
      </c>
      <c r="F172">
        <f>IF(L172=2,COUNTIF($L$1:L172,2),"")</f>
        <v>35</v>
      </c>
      <c r="G172" t="str">
        <f>VLOOKUP(D172,Ngan_hang_cau_hoi!$B$2:$K$142,L172,0)</f>
        <v>Chuẩn giao tiếp của ổ SSD NVMe là gì?</v>
      </c>
      <c r="H172" t="str">
        <f>IFERROR(VLOOKUP(J172,Ngan_hang_cau_hoi!$I$2:$L$142,4,0),"")</f>
        <v/>
      </c>
      <c r="J172" t="str">
        <f>IF(VLOOKUP(D172,Ngan_hang_cau_hoi!$B$2:$K$142,8,0)=G172,G172,"")</f>
        <v/>
      </c>
      <c r="L172">
        <f t="shared" si="5"/>
        <v>2</v>
      </c>
    </row>
    <row r="173" spans="1:12" x14ac:dyDescent="0.25">
      <c r="A173">
        <v>171</v>
      </c>
      <c r="B173" t="str">
        <f>VLOOKUP(D173,Ngan_hang_cau_hoi!$B$2:$K$142,10,0)</f>
        <v>Chương 1</v>
      </c>
      <c r="C173" t="str">
        <f>VLOOKUP(D173,Ngan_hang_cau_hoi!$B$2:$K$142,9,0)</f>
        <v>Trung bình</v>
      </c>
      <c r="D173">
        <f t="shared" si="4"/>
        <v>35</v>
      </c>
      <c r="F173" t="str">
        <f>IF(L173=2,COUNTIF($L$1:L173,2),"")</f>
        <v/>
      </c>
      <c r="G173" t="str">
        <f>VLOOKUP(D173,Ngan_hang_cau_hoi!$B$2:$K$142,L173,0)</f>
        <v>SATA</v>
      </c>
      <c r="H173" t="str">
        <f>IFERROR(VLOOKUP(J173,Ngan_hang_cau_hoi!$I$2:$L$142,4,0),"")</f>
        <v/>
      </c>
      <c r="J173" t="str">
        <f>IF(VLOOKUP(D173,Ngan_hang_cau_hoi!$B$2:$K$142,8,0)=G173,G173,"")</f>
        <v/>
      </c>
      <c r="L173">
        <f t="shared" si="5"/>
        <v>3</v>
      </c>
    </row>
    <row r="174" spans="1:12" x14ac:dyDescent="0.25">
      <c r="A174">
        <v>172</v>
      </c>
      <c r="B174" t="str">
        <f>VLOOKUP(D174,Ngan_hang_cau_hoi!$B$2:$K$142,10,0)</f>
        <v>Chương 1</v>
      </c>
      <c r="C174" t="str">
        <f>VLOOKUP(D174,Ngan_hang_cau_hoi!$B$2:$K$142,9,0)</f>
        <v>Trung bình</v>
      </c>
      <c r="D174">
        <f t="shared" si="4"/>
        <v>35</v>
      </c>
      <c r="F174" t="str">
        <f>IF(L174=2,COUNTIF($L$1:L174,2),"")</f>
        <v/>
      </c>
      <c r="G174" t="str">
        <f>VLOOKUP(D174,Ngan_hang_cau_hoi!$B$2:$K$142,L174,0)</f>
        <v>PCIe</v>
      </c>
      <c r="H174" t="str">
        <f>IFERROR(VLOOKUP(J174,Ngan_hang_cau_hoi!$I$2:$L$142,4,0),"")</f>
        <v>B</v>
      </c>
      <c r="J174" t="str">
        <f>IF(VLOOKUP(D174,Ngan_hang_cau_hoi!$B$2:$K$142,8,0)=G174,G174,"")</f>
        <v>PCIe</v>
      </c>
      <c r="L174">
        <f t="shared" si="5"/>
        <v>4</v>
      </c>
    </row>
    <row r="175" spans="1:12" x14ac:dyDescent="0.25">
      <c r="A175">
        <v>173</v>
      </c>
      <c r="B175" t="str">
        <f>VLOOKUP(D175,Ngan_hang_cau_hoi!$B$2:$K$142,10,0)</f>
        <v>Chương 1</v>
      </c>
      <c r="C175" t="str">
        <f>VLOOKUP(D175,Ngan_hang_cau_hoi!$B$2:$K$142,9,0)</f>
        <v>Trung bình</v>
      </c>
      <c r="D175">
        <f t="shared" si="4"/>
        <v>35</v>
      </c>
      <c r="F175" t="str">
        <f>IF(L175=2,COUNTIF($L$1:L175,2),"")</f>
        <v/>
      </c>
      <c r="G175" t="str">
        <f>VLOOKUP(D175,Ngan_hang_cau_hoi!$B$2:$K$142,L175,0)</f>
        <v>IDE</v>
      </c>
      <c r="H175" t="str">
        <f>IFERROR(VLOOKUP(J175,Ngan_hang_cau_hoi!$I$2:$L$142,4,0),"")</f>
        <v/>
      </c>
      <c r="J175" t="str">
        <f>IF(VLOOKUP(D175,Ngan_hang_cau_hoi!$B$2:$K$142,8,0)=G175,G175,"")</f>
        <v/>
      </c>
      <c r="L175">
        <f t="shared" si="5"/>
        <v>5</v>
      </c>
    </row>
    <row r="176" spans="1:12" x14ac:dyDescent="0.25">
      <c r="A176">
        <v>174</v>
      </c>
      <c r="B176" t="str">
        <f>VLOOKUP(D176,Ngan_hang_cau_hoi!$B$2:$K$142,10,0)</f>
        <v>Chương 1</v>
      </c>
      <c r="C176" t="str">
        <f>VLOOKUP(D176,Ngan_hang_cau_hoi!$B$2:$K$142,9,0)</f>
        <v>Trung bình</v>
      </c>
      <c r="D176">
        <f t="shared" si="4"/>
        <v>35</v>
      </c>
      <c r="F176" t="str">
        <f>IF(L176=2,COUNTIF($L$1:L176,2),"")</f>
        <v/>
      </c>
      <c r="G176" t="str">
        <f>VLOOKUP(D176,Ngan_hang_cau_hoi!$B$2:$K$142,L176,0)</f>
        <v>USB</v>
      </c>
      <c r="H176" t="str">
        <f>IFERROR(VLOOKUP(J176,Ngan_hang_cau_hoi!$I$2:$L$142,4,0),"")</f>
        <v/>
      </c>
      <c r="J176" t="str">
        <f>IF(VLOOKUP(D176,Ngan_hang_cau_hoi!$B$2:$K$142,8,0)=G176,G176,"")</f>
        <v/>
      </c>
      <c r="L176">
        <f t="shared" si="5"/>
        <v>6</v>
      </c>
    </row>
    <row r="177" spans="1:12" x14ac:dyDescent="0.25">
      <c r="A177">
        <v>175</v>
      </c>
      <c r="B177" t="str">
        <f>VLOOKUP(D177,Ngan_hang_cau_hoi!$B$2:$K$142,10,0)</f>
        <v>Chương 1</v>
      </c>
      <c r="C177" t="str">
        <f>VLOOKUP(D177,Ngan_hang_cau_hoi!$B$2:$K$142,9,0)</f>
        <v>Trung bình</v>
      </c>
      <c r="D177">
        <f t="shared" si="4"/>
        <v>36</v>
      </c>
      <c r="F177">
        <f>IF(L177=2,COUNTIF($L$1:L177,2),"")</f>
        <v>36</v>
      </c>
      <c r="G177" t="str">
        <f>VLOOKUP(D177,Ngan_hang_cau_hoi!$B$2:$K$142,L177,0)</f>
        <v>Card đồ họa rời được cắm vào khe nào trên mainboard?</v>
      </c>
      <c r="H177" t="str">
        <f>IFERROR(VLOOKUP(J177,Ngan_hang_cau_hoi!$I$2:$L$142,4,0),"")</f>
        <v/>
      </c>
      <c r="J177" t="str">
        <f>IF(VLOOKUP(D177,Ngan_hang_cau_hoi!$B$2:$K$142,8,0)=G177,G177,"")</f>
        <v/>
      </c>
      <c r="L177">
        <f t="shared" si="5"/>
        <v>2</v>
      </c>
    </row>
    <row r="178" spans="1:12" x14ac:dyDescent="0.25">
      <c r="A178">
        <v>176</v>
      </c>
      <c r="B178" t="str">
        <f>VLOOKUP(D178,Ngan_hang_cau_hoi!$B$2:$K$142,10,0)</f>
        <v>Chương 1</v>
      </c>
      <c r="C178" t="str">
        <f>VLOOKUP(D178,Ngan_hang_cau_hoi!$B$2:$K$142,9,0)</f>
        <v>Trung bình</v>
      </c>
      <c r="D178">
        <f t="shared" si="4"/>
        <v>36</v>
      </c>
      <c r="F178" t="str">
        <f>IF(L178=2,COUNTIF($L$1:L178,2),"")</f>
        <v/>
      </c>
      <c r="G178" t="str">
        <f>VLOOKUP(D178,Ngan_hang_cau_hoi!$B$2:$K$142,L178,0)</f>
        <v>PCI</v>
      </c>
      <c r="H178" t="str">
        <f>IFERROR(VLOOKUP(J178,Ngan_hang_cau_hoi!$I$2:$L$142,4,0),"")</f>
        <v/>
      </c>
      <c r="J178" t="str">
        <f>IF(VLOOKUP(D178,Ngan_hang_cau_hoi!$B$2:$K$142,8,0)=G178,G178,"")</f>
        <v/>
      </c>
      <c r="L178">
        <f t="shared" si="5"/>
        <v>3</v>
      </c>
    </row>
    <row r="179" spans="1:12" x14ac:dyDescent="0.25">
      <c r="A179">
        <v>177</v>
      </c>
      <c r="B179" t="str">
        <f>VLOOKUP(D179,Ngan_hang_cau_hoi!$B$2:$K$142,10,0)</f>
        <v>Chương 1</v>
      </c>
      <c r="C179" t="str">
        <f>VLOOKUP(D179,Ngan_hang_cau_hoi!$B$2:$K$142,9,0)</f>
        <v>Trung bình</v>
      </c>
      <c r="D179">
        <f t="shared" si="4"/>
        <v>36</v>
      </c>
      <c r="F179" t="str">
        <f>IF(L179=2,COUNTIF($L$1:L179,2),"")</f>
        <v/>
      </c>
      <c r="G179" t="str">
        <f>VLOOKUP(D179,Ngan_hang_cau_hoi!$B$2:$K$142,L179,0)</f>
        <v>PCIe x16</v>
      </c>
      <c r="H179" t="str">
        <f>IFERROR(VLOOKUP(J179,Ngan_hang_cau_hoi!$I$2:$L$142,4,0),"")</f>
        <v>B</v>
      </c>
      <c r="J179" t="str">
        <f>IF(VLOOKUP(D179,Ngan_hang_cau_hoi!$B$2:$K$142,8,0)=G179,G179,"")</f>
        <v>PCIe x16</v>
      </c>
      <c r="L179">
        <f t="shared" si="5"/>
        <v>4</v>
      </c>
    </row>
    <row r="180" spans="1:12" x14ac:dyDescent="0.25">
      <c r="A180">
        <v>178</v>
      </c>
      <c r="B180" t="str">
        <f>VLOOKUP(D180,Ngan_hang_cau_hoi!$B$2:$K$142,10,0)</f>
        <v>Chương 1</v>
      </c>
      <c r="C180" t="str">
        <f>VLOOKUP(D180,Ngan_hang_cau_hoi!$B$2:$K$142,9,0)</f>
        <v>Trung bình</v>
      </c>
      <c r="D180">
        <f t="shared" si="4"/>
        <v>36</v>
      </c>
      <c r="F180" t="str">
        <f>IF(L180=2,COUNTIF($L$1:L180,2),"")</f>
        <v/>
      </c>
      <c r="G180" t="str">
        <f>VLOOKUP(D180,Ngan_hang_cau_hoi!$B$2:$K$142,L180,0)</f>
        <v>SATA</v>
      </c>
      <c r="H180" t="str">
        <f>IFERROR(VLOOKUP(J180,Ngan_hang_cau_hoi!$I$2:$L$142,4,0),"")</f>
        <v/>
      </c>
      <c r="J180" t="str">
        <f>IF(VLOOKUP(D180,Ngan_hang_cau_hoi!$B$2:$K$142,8,0)=G180,G180,"")</f>
        <v/>
      </c>
      <c r="L180">
        <f t="shared" si="5"/>
        <v>5</v>
      </c>
    </row>
    <row r="181" spans="1:12" x14ac:dyDescent="0.25">
      <c r="A181">
        <v>179</v>
      </c>
      <c r="B181" t="str">
        <f>VLOOKUP(D181,Ngan_hang_cau_hoi!$B$2:$K$142,10,0)</f>
        <v>Chương 1</v>
      </c>
      <c r="C181" t="str">
        <f>VLOOKUP(D181,Ngan_hang_cau_hoi!$B$2:$K$142,9,0)</f>
        <v>Trung bình</v>
      </c>
      <c r="D181">
        <f t="shared" si="4"/>
        <v>36</v>
      </c>
      <c r="F181" t="str">
        <f>IF(L181=2,COUNTIF($L$1:L181,2),"")</f>
        <v/>
      </c>
      <c r="G181" t="str">
        <f>VLOOKUP(D181,Ngan_hang_cau_hoi!$B$2:$K$142,L181,0)</f>
        <v>M.2</v>
      </c>
      <c r="H181" t="str">
        <f>IFERROR(VLOOKUP(J181,Ngan_hang_cau_hoi!$I$2:$L$142,4,0),"")</f>
        <v/>
      </c>
      <c r="J181" t="str">
        <f>IF(VLOOKUP(D181,Ngan_hang_cau_hoi!$B$2:$K$142,8,0)=G181,G181,"")</f>
        <v/>
      </c>
      <c r="L181">
        <f t="shared" si="5"/>
        <v>6</v>
      </c>
    </row>
    <row r="182" spans="1:12" x14ac:dyDescent="0.25">
      <c r="A182">
        <v>180</v>
      </c>
      <c r="B182" t="str">
        <f>VLOOKUP(D182,Ngan_hang_cau_hoi!$B$2:$K$142,10,0)</f>
        <v>Chương 2</v>
      </c>
      <c r="C182" t="str">
        <f>VLOOKUP(D182,Ngan_hang_cau_hoi!$B$2:$K$142,9,0)</f>
        <v>Dễ</v>
      </c>
      <c r="D182">
        <f t="shared" si="4"/>
        <v>37</v>
      </c>
      <c r="F182">
        <f>IF(L182=2,COUNTIFS($L$1:L182,2,$B$1:B182,"Chương 2"),"")</f>
        <v>1</v>
      </c>
      <c r="G182" t="str">
        <f>VLOOKUP(D182,Ngan_hang_cau_hoi!$B$2:$K$142,L182,0)</f>
        <v>Thông số Socket CPU dùng để:</v>
      </c>
      <c r="H182" t="str">
        <f>IFERROR(VLOOKUP(J182,Ngan_hang_cau_hoi!$I$2:$L$142,4,0),"")</f>
        <v/>
      </c>
      <c r="J182" t="str">
        <f>IF(VLOOKUP(D182,Ngan_hang_cau_hoi!$B$2:$K$142,8,0)=G182,G182,"")</f>
        <v/>
      </c>
      <c r="L182">
        <f t="shared" si="5"/>
        <v>2</v>
      </c>
    </row>
    <row r="183" spans="1:12" x14ac:dyDescent="0.25">
      <c r="A183">
        <v>181</v>
      </c>
      <c r="B183" t="str">
        <f>VLOOKUP(D183,Ngan_hang_cau_hoi!$B$2:$K$142,10,0)</f>
        <v>Chương 2</v>
      </c>
      <c r="C183" t="str">
        <f>VLOOKUP(D183,Ngan_hang_cau_hoi!$B$2:$K$142,9,0)</f>
        <v>Dễ</v>
      </c>
      <c r="D183">
        <f t="shared" si="4"/>
        <v>37</v>
      </c>
      <c r="F183" t="str">
        <f>IF(L183=2,COUNTIFS($L$1:L183,2,$B$1:B183,"Chương 2"),"")</f>
        <v/>
      </c>
      <c r="G183" t="str">
        <f>VLOOKUP(D183,Ngan_hang_cau_hoi!$B$2:$K$142,L183,0)</f>
        <v>xác định loại bo mạch chủ tương thích</v>
      </c>
      <c r="H183" t="str">
        <f>IFERROR(VLOOKUP(J183,Ngan_hang_cau_hoi!$I$2:$L$142,4,0),"")</f>
        <v>A</v>
      </c>
      <c r="J183" t="str">
        <f>IF(VLOOKUP(D183,Ngan_hang_cau_hoi!$B$2:$K$142,8,0)=G183,G183,"")</f>
        <v>xác định loại bo mạch chủ tương thích</v>
      </c>
      <c r="L183">
        <f t="shared" si="5"/>
        <v>3</v>
      </c>
    </row>
    <row r="184" spans="1:12" x14ac:dyDescent="0.25">
      <c r="A184">
        <v>182</v>
      </c>
      <c r="B184" t="str">
        <f>VLOOKUP(D184,Ngan_hang_cau_hoi!$B$2:$K$142,10,0)</f>
        <v>Chương 2</v>
      </c>
      <c r="C184" t="str">
        <f>VLOOKUP(D184,Ngan_hang_cau_hoi!$B$2:$K$142,9,0)</f>
        <v>Dễ</v>
      </c>
      <c r="D184">
        <f t="shared" si="4"/>
        <v>37</v>
      </c>
      <c r="F184" t="str">
        <f>IF(L184=2,COUNTIFS($L$1:L184,2,$B$1:B184,"Chương 2"),"")</f>
        <v/>
      </c>
      <c r="G184" t="str">
        <f>VLOOKUP(D184,Ngan_hang_cau_hoi!$B$2:$K$142,L184,0)</f>
        <v>xác định loại RAM</v>
      </c>
      <c r="H184" t="str">
        <f>IFERROR(VLOOKUP(J184,Ngan_hang_cau_hoi!$I$2:$L$142,4,0),"")</f>
        <v/>
      </c>
      <c r="J184" t="str">
        <f>IF(VLOOKUP(D184,Ngan_hang_cau_hoi!$B$2:$K$142,8,0)=G184,G184,"")</f>
        <v/>
      </c>
      <c r="L184">
        <f t="shared" si="5"/>
        <v>4</v>
      </c>
    </row>
    <row r="185" spans="1:12" x14ac:dyDescent="0.25">
      <c r="A185">
        <v>183</v>
      </c>
      <c r="B185" t="str">
        <f>VLOOKUP(D185,Ngan_hang_cau_hoi!$B$2:$K$142,10,0)</f>
        <v>Chương 2</v>
      </c>
      <c r="C185" t="str">
        <f>VLOOKUP(D185,Ngan_hang_cau_hoi!$B$2:$K$142,9,0)</f>
        <v>Dễ</v>
      </c>
      <c r="D185">
        <f t="shared" si="4"/>
        <v>37</v>
      </c>
      <c r="F185" t="str">
        <f>IF(L185=2,COUNTIFS($L$1:L185,2,$B$1:B185,"Chương 2"),"")</f>
        <v/>
      </c>
      <c r="G185" t="str">
        <f>VLOOKUP(D185,Ngan_hang_cau_hoi!$B$2:$K$142,L185,0)</f>
        <v>xác định dung lượng ổ cứng</v>
      </c>
      <c r="H185" t="str">
        <f>IFERROR(VLOOKUP(J185,Ngan_hang_cau_hoi!$I$2:$L$142,4,0),"")</f>
        <v/>
      </c>
      <c r="J185" t="str">
        <f>IF(VLOOKUP(D185,Ngan_hang_cau_hoi!$B$2:$K$142,8,0)=G185,G185,"")</f>
        <v/>
      </c>
      <c r="L185">
        <f t="shared" si="5"/>
        <v>5</v>
      </c>
    </row>
    <row r="186" spans="1:12" x14ac:dyDescent="0.25">
      <c r="A186">
        <v>184</v>
      </c>
      <c r="B186" t="str">
        <f>VLOOKUP(D186,Ngan_hang_cau_hoi!$B$2:$K$142,10,0)</f>
        <v>Chương 2</v>
      </c>
      <c r="C186" t="str">
        <f>VLOOKUP(D186,Ngan_hang_cau_hoi!$B$2:$K$142,9,0)</f>
        <v>Dễ</v>
      </c>
      <c r="D186">
        <f t="shared" si="4"/>
        <v>37</v>
      </c>
      <c r="F186" t="str">
        <f>IF(L186=2,COUNTIFS($L$1:L186,2,$B$1:B186,"Chương 2"),"")</f>
        <v/>
      </c>
      <c r="G186" t="str">
        <f>VLOOKUP(D186,Ngan_hang_cau_hoi!$B$2:$K$142,L186,0)</f>
        <v>xác định card màn hình</v>
      </c>
      <c r="H186" t="str">
        <f>IFERROR(VLOOKUP(J186,Ngan_hang_cau_hoi!$I$2:$L$142,4,0),"")</f>
        <v/>
      </c>
      <c r="J186" t="str">
        <f>IF(VLOOKUP(D186,Ngan_hang_cau_hoi!$B$2:$K$142,8,0)=G186,G186,"")</f>
        <v/>
      </c>
      <c r="L186">
        <f t="shared" si="5"/>
        <v>6</v>
      </c>
    </row>
    <row r="187" spans="1:12" x14ac:dyDescent="0.25">
      <c r="A187">
        <v>185</v>
      </c>
      <c r="B187" t="str">
        <f>VLOOKUP(D187,Ngan_hang_cau_hoi!$B$2:$K$142,10,0)</f>
        <v>Chương 2</v>
      </c>
      <c r="C187" t="str">
        <f>VLOOKUP(D187,Ngan_hang_cau_hoi!$B$2:$K$142,9,0)</f>
        <v>Dễ</v>
      </c>
      <c r="D187">
        <f t="shared" si="4"/>
        <v>38</v>
      </c>
      <c r="F187">
        <f>IF(L187=2,COUNTIFS($L$1:L187,2,$B$1:B187,"Chương 2"),"")</f>
        <v>2</v>
      </c>
      <c r="G187" t="str">
        <f>VLOOKUP(D187,Ngan_hang_cau_hoi!$B$2:$K$142,L187,0)</f>
        <v>Khe PCIe x16 thường dùng để lắp thiết bị nào?</v>
      </c>
      <c r="H187" t="str">
        <f>IFERROR(VLOOKUP(J187,Ngan_hang_cau_hoi!$I$2:$L$142,4,0),"")</f>
        <v/>
      </c>
      <c r="J187" t="str">
        <f>IF(VLOOKUP(D187,Ngan_hang_cau_hoi!$B$2:$K$142,8,0)=G187,G187,"")</f>
        <v/>
      </c>
      <c r="L187">
        <f t="shared" si="5"/>
        <v>2</v>
      </c>
    </row>
    <row r="188" spans="1:12" x14ac:dyDescent="0.25">
      <c r="A188">
        <v>186</v>
      </c>
      <c r="B188" t="str">
        <f>VLOOKUP(D188,Ngan_hang_cau_hoi!$B$2:$K$142,10,0)</f>
        <v>Chương 2</v>
      </c>
      <c r="C188" t="str">
        <f>VLOOKUP(D188,Ngan_hang_cau_hoi!$B$2:$K$142,9,0)</f>
        <v>Dễ</v>
      </c>
      <c r="D188">
        <f t="shared" si="4"/>
        <v>38</v>
      </c>
      <c r="F188" t="str">
        <f>IF(L188=2,COUNTIFS($L$1:L188,2,$B$1:B188,"Chương 2"),"")</f>
        <v/>
      </c>
      <c r="G188" t="str">
        <f>VLOOKUP(D188,Ngan_hang_cau_hoi!$B$2:$K$142,L188,0)</f>
        <v>RAM</v>
      </c>
      <c r="H188" t="str">
        <f>IFERROR(VLOOKUP(J188,Ngan_hang_cau_hoi!$I$2:$L$142,4,0),"")</f>
        <v/>
      </c>
      <c r="J188" t="str">
        <f>IF(VLOOKUP(D188,Ngan_hang_cau_hoi!$B$2:$K$142,8,0)=G188,G188,"")</f>
        <v/>
      </c>
      <c r="L188">
        <f t="shared" si="5"/>
        <v>3</v>
      </c>
    </row>
    <row r="189" spans="1:12" x14ac:dyDescent="0.25">
      <c r="A189">
        <v>187</v>
      </c>
      <c r="B189" t="str">
        <f>VLOOKUP(D189,Ngan_hang_cau_hoi!$B$2:$K$142,10,0)</f>
        <v>Chương 2</v>
      </c>
      <c r="C189" t="str">
        <f>VLOOKUP(D189,Ngan_hang_cau_hoi!$B$2:$K$142,9,0)</f>
        <v>Dễ</v>
      </c>
      <c r="D189">
        <f t="shared" si="4"/>
        <v>38</v>
      </c>
      <c r="F189" t="str">
        <f>IF(L189=2,COUNTIFS($L$1:L189,2,$B$1:B189,"Chương 2"),"")</f>
        <v/>
      </c>
      <c r="G189" t="str">
        <f>VLOOKUP(D189,Ngan_hang_cau_hoi!$B$2:$K$142,L189,0)</f>
        <v>GPU</v>
      </c>
      <c r="H189" t="str">
        <f>IFERROR(VLOOKUP(J189,Ngan_hang_cau_hoi!$I$2:$L$142,4,0),"")</f>
        <v>B</v>
      </c>
      <c r="J189" t="str">
        <f>IF(VLOOKUP(D189,Ngan_hang_cau_hoi!$B$2:$K$142,8,0)=G189,G189,"")</f>
        <v>GPU</v>
      </c>
      <c r="L189">
        <f t="shared" si="5"/>
        <v>4</v>
      </c>
    </row>
    <row r="190" spans="1:12" x14ac:dyDescent="0.25">
      <c r="A190">
        <v>188</v>
      </c>
      <c r="B190" t="str">
        <f>VLOOKUP(D190,Ngan_hang_cau_hoi!$B$2:$K$142,10,0)</f>
        <v>Chương 2</v>
      </c>
      <c r="C190" t="str">
        <f>VLOOKUP(D190,Ngan_hang_cau_hoi!$B$2:$K$142,9,0)</f>
        <v>Dễ</v>
      </c>
      <c r="D190">
        <f t="shared" si="4"/>
        <v>38</v>
      </c>
      <c r="F190" t="str">
        <f>IF(L190=2,COUNTIFS($L$1:L190,2,$B$1:B190,"Chương 2"),"")</f>
        <v/>
      </c>
      <c r="G190" t="str">
        <f>VLOOKUP(D190,Ngan_hang_cau_hoi!$B$2:$K$142,L190,0)</f>
        <v>SSD</v>
      </c>
      <c r="H190" t="str">
        <f>IFERROR(VLOOKUP(J190,Ngan_hang_cau_hoi!$I$2:$L$142,4,0),"")</f>
        <v/>
      </c>
      <c r="J190" t="str">
        <f>IF(VLOOKUP(D190,Ngan_hang_cau_hoi!$B$2:$K$142,8,0)=G190,G190,"")</f>
        <v/>
      </c>
      <c r="L190">
        <f t="shared" si="5"/>
        <v>5</v>
      </c>
    </row>
    <row r="191" spans="1:12" x14ac:dyDescent="0.25">
      <c r="A191">
        <v>189</v>
      </c>
      <c r="B191" t="str">
        <f>VLOOKUP(D191,Ngan_hang_cau_hoi!$B$2:$K$142,10,0)</f>
        <v>Chương 2</v>
      </c>
      <c r="C191" t="str">
        <f>VLOOKUP(D191,Ngan_hang_cau_hoi!$B$2:$K$142,9,0)</f>
        <v>Dễ</v>
      </c>
      <c r="D191">
        <f t="shared" si="4"/>
        <v>38</v>
      </c>
      <c r="F191" t="str">
        <f>IF(L191=2,COUNTIFS($L$1:L191,2,$B$1:B191,"Chương 2"),"")</f>
        <v/>
      </c>
      <c r="G191" t="str">
        <f>VLOOKUP(D191,Ngan_hang_cau_hoi!$B$2:$K$142,L191,0)</f>
        <v>CPU</v>
      </c>
      <c r="H191" t="str">
        <f>IFERROR(VLOOKUP(J191,Ngan_hang_cau_hoi!$I$2:$L$142,4,0),"")</f>
        <v/>
      </c>
      <c r="J191" t="str">
        <f>IF(VLOOKUP(D191,Ngan_hang_cau_hoi!$B$2:$K$142,8,0)=G191,G191,"")</f>
        <v/>
      </c>
      <c r="L191">
        <f t="shared" si="5"/>
        <v>6</v>
      </c>
    </row>
    <row r="192" spans="1:12" x14ac:dyDescent="0.25">
      <c r="A192">
        <v>190</v>
      </c>
      <c r="B192" t="str">
        <f>VLOOKUP(D192,Ngan_hang_cau_hoi!$B$2:$K$142,10,0)</f>
        <v>Chương 2</v>
      </c>
      <c r="C192" t="str">
        <f>VLOOKUP(D192,Ngan_hang_cau_hoi!$B$2:$K$142,9,0)</f>
        <v>Dễ</v>
      </c>
      <c r="D192">
        <f t="shared" si="4"/>
        <v>39</v>
      </c>
      <c r="F192">
        <f>IF(L192=2,COUNTIFS($L$1:L192,2,$B$1:B192,"Chương 2"),"")</f>
        <v>3</v>
      </c>
      <c r="G192" t="str">
        <f>VLOOKUP(D192,Ngan_hang_cau_hoi!$B$2:$K$142,L192,0)</f>
        <v>CPU được lắp vào đâu trên mainboard?</v>
      </c>
      <c r="H192" t="str">
        <f>IFERROR(VLOOKUP(J192,Ngan_hang_cau_hoi!$I$2:$L$142,4,0),"")</f>
        <v/>
      </c>
      <c r="J192" t="str">
        <f>IF(VLOOKUP(D192,Ngan_hang_cau_hoi!$B$2:$K$142,8,0)=G192,G192,"")</f>
        <v/>
      </c>
      <c r="L192">
        <f t="shared" si="5"/>
        <v>2</v>
      </c>
    </row>
    <row r="193" spans="1:12" x14ac:dyDescent="0.25">
      <c r="A193">
        <v>191</v>
      </c>
      <c r="B193" t="str">
        <f>VLOOKUP(D193,Ngan_hang_cau_hoi!$B$2:$K$142,10,0)</f>
        <v>Chương 2</v>
      </c>
      <c r="C193" t="str">
        <f>VLOOKUP(D193,Ngan_hang_cau_hoi!$B$2:$K$142,9,0)</f>
        <v>Dễ</v>
      </c>
      <c r="D193">
        <f t="shared" si="4"/>
        <v>39</v>
      </c>
      <c r="F193" t="str">
        <f>IF(L193=2,COUNTIFS($L$1:L193,2,$B$1:B193,"Chương 2"),"")</f>
        <v/>
      </c>
      <c r="G193" t="str">
        <f>VLOOKUP(D193,Ngan_hang_cau_hoi!$B$2:$K$142,L193,0)</f>
        <v>PCIe slot</v>
      </c>
      <c r="H193" t="str">
        <f>IFERROR(VLOOKUP(J193,Ngan_hang_cau_hoi!$I$2:$L$142,4,0),"")</f>
        <v/>
      </c>
      <c r="J193" t="str">
        <f>IF(VLOOKUP(D193,Ngan_hang_cau_hoi!$B$2:$K$142,8,0)=G193,G193,"")</f>
        <v/>
      </c>
      <c r="L193">
        <f t="shared" si="5"/>
        <v>3</v>
      </c>
    </row>
    <row r="194" spans="1:12" x14ac:dyDescent="0.25">
      <c r="A194">
        <v>192</v>
      </c>
      <c r="B194" t="str">
        <f>VLOOKUP(D194,Ngan_hang_cau_hoi!$B$2:$K$142,10,0)</f>
        <v>Chương 2</v>
      </c>
      <c r="C194" t="str">
        <f>VLOOKUP(D194,Ngan_hang_cau_hoi!$B$2:$K$142,9,0)</f>
        <v>Dễ</v>
      </c>
      <c r="D194">
        <f t="shared" si="4"/>
        <v>39</v>
      </c>
      <c r="F194" t="str">
        <f>IF(L194=2,COUNTIFS($L$1:L194,2,$B$1:B194,"Chương 2"),"")</f>
        <v/>
      </c>
      <c r="G194" t="str">
        <f>VLOOKUP(D194,Ngan_hang_cau_hoi!$B$2:$K$142,L194,0)</f>
        <v>RAM slot</v>
      </c>
      <c r="H194" t="str">
        <f>IFERROR(VLOOKUP(J194,Ngan_hang_cau_hoi!$I$2:$L$142,4,0),"")</f>
        <v/>
      </c>
      <c r="J194" t="str">
        <f>IF(VLOOKUP(D194,Ngan_hang_cau_hoi!$B$2:$K$142,8,0)=G194,G194,"")</f>
        <v/>
      </c>
      <c r="L194">
        <f t="shared" si="5"/>
        <v>4</v>
      </c>
    </row>
    <row r="195" spans="1:12" x14ac:dyDescent="0.25">
      <c r="A195">
        <v>193</v>
      </c>
      <c r="B195" t="str">
        <f>VLOOKUP(D195,Ngan_hang_cau_hoi!$B$2:$K$142,10,0)</f>
        <v>Chương 2</v>
      </c>
      <c r="C195" t="str">
        <f>VLOOKUP(D195,Ngan_hang_cau_hoi!$B$2:$K$142,9,0)</f>
        <v>Dễ</v>
      </c>
      <c r="D195">
        <f t="shared" ref="D195:D258" si="6">INT(A195/5)+1</f>
        <v>39</v>
      </c>
      <c r="F195" t="str">
        <f>IF(L195=2,COUNTIFS($L$1:L195,2,$B$1:B195,"Chương 2"),"")</f>
        <v/>
      </c>
      <c r="G195" t="str">
        <f>VLOOKUP(D195,Ngan_hang_cau_hoi!$B$2:$K$142,L195,0)</f>
        <v>CPU socket</v>
      </c>
      <c r="H195" t="str">
        <f>IFERROR(VLOOKUP(J195,Ngan_hang_cau_hoi!$I$2:$L$142,4,0),"")</f>
        <v>C</v>
      </c>
      <c r="J195" t="str">
        <f>IF(VLOOKUP(D195,Ngan_hang_cau_hoi!$B$2:$K$142,8,0)=G195,G195,"")</f>
        <v>CPU socket</v>
      </c>
      <c r="L195">
        <f t="shared" ref="L195:L258" si="7">IF(L194=6,2,L194+1)</f>
        <v>5</v>
      </c>
    </row>
    <row r="196" spans="1:12" x14ac:dyDescent="0.25">
      <c r="A196">
        <v>194</v>
      </c>
      <c r="B196" t="str">
        <f>VLOOKUP(D196,Ngan_hang_cau_hoi!$B$2:$K$142,10,0)</f>
        <v>Chương 2</v>
      </c>
      <c r="C196" t="str">
        <f>VLOOKUP(D196,Ngan_hang_cau_hoi!$B$2:$K$142,9,0)</f>
        <v>Dễ</v>
      </c>
      <c r="D196">
        <f t="shared" si="6"/>
        <v>39</v>
      </c>
      <c r="F196" t="str">
        <f>IF(L196=2,COUNTIFS($L$1:L196,2,$B$1:B196,"Chương 2"),"")</f>
        <v/>
      </c>
      <c r="G196" t="str">
        <f>VLOOKUP(D196,Ngan_hang_cau_hoi!$B$2:$K$142,L196,0)</f>
        <v>SATA port</v>
      </c>
      <c r="H196" t="str">
        <f>IFERROR(VLOOKUP(J196,Ngan_hang_cau_hoi!$I$2:$L$142,4,0),"")</f>
        <v/>
      </c>
      <c r="J196" t="str">
        <f>IF(VLOOKUP(D196,Ngan_hang_cau_hoi!$B$2:$K$142,8,0)=G196,G196,"")</f>
        <v/>
      </c>
      <c r="L196">
        <f t="shared" si="7"/>
        <v>6</v>
      </c>
    </row>
    <row r="197" spans="1:12" x14ac:dyDescent="0.25">
      <c r="A197">
        <v>195</v>
      </c>
      <c r="B197" t="str">
        <f>VLOOKUP(D197,Ngan_hang_cau_hoi!$B$2:$K$142,10,0)</f>
        <v>Chương 2</v>
      </c>
      <c r="C197" t="str">
        <f>VLOOKUP(D197,Ngan_hang_cau_hoi!$B$2:$K$142,9,0)</f>
        <v>Dễ</v>
      </c>
      <c r="D197">
        <f t="shared" si="6"/>
        <v>40</v>
      </c>
      <c r="F197">
        <f>IF(L197=2,COUNTIFS($L$1:L197,2,$B$1:B197,"Chương 2"),"")</f>
        <v>4</v>
      </c>
      <c r="G197" t="str">
        <f>VLOOKUP(D197,Ngan_hang_cau_hoi!$B$2:$K$142,L197,0)</f>
        <v>CPU có Base Clock 2.8 GHz, Turbo Boost 4.0 GHz nghĩa là:</v>
      </c>
      <c r="H197" t="str">
        <f>IFERROR(VLOOKUP(J197,Ngan_hang_cau_hoi!$I$2:$L$142,4,0),"")</f>
        <v/>
      </c>
      <c r="J197" t="str">
        <f>IF(VLOOKUP(D197,Ngan_hang_cau_hoi!$B$2:$K$142,8,0)=G197,G197,"")</f>
        <v/>
      </c>
      <c r="L197">
        <f t="shared" si="7"/>
        <v>2</v>
      </c>
    </row>
    <row r="198" spans="1:12" x14ac:dyDescent="0.25">
      <c r="A198">
        <v>196</v>
      </c>
      <c r="B198" t="str">
        <f>VLOOKUP(D198,Ngan_hang_cau_hoi!$B$2:$K$142,10,0)</f>
        <v>Chương 2</v>
      </c>
      <c r="C198" t="str">
        <f>VLOOKUP(D198,Ngan_hang_cau_hoi!$B$2:$K$142,9,0)</f>
        <v>Dễ</v>
      </c>
      <c r="D198">
        <f t="shared" si="6"/>
        <v>40</v>
      </c>
      <c r="F198" t="str">
        <f>IF(L198=2,COUNTIFS($L$1:L198,2,$B$1:B198,"Chương 2"),"")</f>
        <v/>
      </c>
      <c r="G198" t="str">
        <f>VLOOKUP(D198,Ngan_hang_cau_hoi!$B$2:$K$142,L198,0)</f>
        <v>CPU có thể tự động tăng xung lên 4.0 GHz khi cần</v>
      </c>
      <c r="H198" t="str">
        <f>IFERROR(VLOOKUP(J198,Ngan_hang_cau_hoi!$I$2:$L$142,4,0),"")</f>
        <v>A</v>
      </c>
      <c r="J198" t="str">
        <f>IF(VLOOKUP(D198,Ngan_hang_cau_hoi!$B$2:$K$142,8,0)=G198,G198,"")</f>
        <v>CPU có thể tự động tăng xung lên 4.0 GHz khi cần</v>
      </c>
      <c r="L198">
        <f t="shared" si="7"/>
        <v>3</v>
      </c>
    </row>
    <row r="199" spans="1:12" x14ac:dyDescent="0.25">
      <c r="A199">
        <v>197</v>
      </c>
      <c r="B199" t="str">
        <f>VLOOKUP(D199,Ngan_hang_cau_hoi!$B$2:$K$142,10,0)</f>
        <v>Chương 2</v>
      </c>
      <c r="C199" t="str">
        <f>VLOOKUP(D199,Ngan_hang_cau_hoi!$B$2:$K$142,9,0)</f>
        <v>Dễ</v>
      </c>
      <c r="D199">
        <f t="shared" si="6"/>
        <v>40</v>
      </c>
      <c r="F199" t="str">
        <f>IF(L199=2,COUNTIFS($L$1:L199,2,$B$1:B199,"Chương 2"),"")</f>
        <v/>
      </c>
      <c r="G199" t="str">
        <f>VLOOKUP(D199,Ngan_hang_cau_hoi!$B$2:$K$142,L199,0)</f>
        <v>CPU luôn chạy 4.0 GHz</v>
      </c>
      <c r="H199" t="str">
        <f>IFERROR(VLOOKUP(J199,Ngan_hang_cau_hoi!$I$2:$L$142,4,0),"")</f>
        <v/>
      </c>
      <c r="J199" t="str">
        <f>IF(VLOOKUP(D199,Ngan_hang_cau_hoi!$B$2:$K$142,8,0)=G199,G199,"")</f>
        <v/>
      </c>
      <c r="L199">
        <f t="shared" si="7"/>
        <v>4</v>
      </c>
    </row>
    <row r="200" spans="1:12" x14ac:dyDescent="0.25">
      <c r="A200">
        <v>198</v>
      </c>
      <c r="B200" t="str">
        <f>VLOOKUP(D200,Ngan_hang_cau_hoi!$B$2:$K$142,10,0)</f>
        <v>Chương 2</v>
      </c>
      <c r="C200" t="str">
        <f>VLOOKUP(D200,Ngan_hang_cau_hoi!$B$2:$K$142,9,0)</f>
        <v>Dễ</v>
      </c>
      <c r="D200">
        <f t="shared" si="6"/>
        <v>40</v>
      </c>
      <c r="F200" t="str">
        <f>IF(L200=2,COUNTIFS($L$1:L200,2,$B$1:B200,"Chương 2"),"")</f>
        <v/>
      </c>
      <c r="G200" t="str">
        <f>VLOOKUP(D200,Ngan_hang_cau_hoi!$B$2:$K$142,L200,0)</f>
        <v>CPU không chạy dưới 4 GHz</v>
      </c>
      <c r="H200" t="str">
        <f>IFERROR(VLOOKUP(J200,Ngan_hang_cau_hoi!$I$2:$L$142,4,0),"")</f>
        <v/>
      </c>
      <c r="J200" t="str">
        <f>IF(VLOOKUP(D200,Ngan_hang_cau_hoi!$B$2:$K$142,8,0)=G200,G200,"")</f>
        <v/>
      </c>
      <c r="L200">
        <f t="shared" si="7"/>
        <v>5</v>
      </c>
    </row>
    <row r="201" spans="1:12" x14ac:dyDescent="0.25">
      <c r="A201">
        <v>199</v>
      </c>
      <c r="B201" t="str">
        <f>VLOOKUP(D201,Ngan_hang_cau_hoi!$B$2:$K$142,10,0)</f>
        <v>Chương 2</v>
      </c>
      <c r="C201" t="str">
        <f>VLOOKUP(D201,Ngan_hang_cau_hoi!$B$2:$K$142,9,0)</f>
        <v>Dễ</v>
      </c>
      <c r="D201">
        <f t="shared" si="6"/>
        <v>40</v>
      </c>
      <c r="F201" t="str">
        <f>IF(L201=2,COUNTIFS($L$1:L201,2,$B$1:B201,"Chương 2"),"")</f>
        <v/>
      </c>
      <c r="G201" t="str">
        <f>VLOOKUP(D201,Ngan_hang_cau_hoi!$B$2:$K$142,L201,0)</f>
        <v>CPU chỉ chạy 2.8 GHz</v>
      </c>
      <c r="H201" t="str">
        <f>IFERROR(VLOOKUP(J201,Ngan_hang_cau_hoi!$I$2:$L$142,4,0),"")</f>
        <v/>
      </c>
      <c r="J201" t="str">
        <f>IF(VLOOKUP(D201,Ngan_hang_cau_hoi!$B$2:$K$142,8,0)=G201,G201,"")</f>
        <v/>
      </c>
      <c r="L201">
        <f t="shared" si="7"/>
        <v>6</v>
      </c>
    </row>
    <row r="202" spans="1:12" x14ac:dyDescent="0.25">
      <c r="A202">
        <v>200</v>
      </c>
      <c r="B202" t="str">
        <f>VLOOKUP(D202,Ngan_hang_cau_hoi!$B$2:$K$142,10,0)</f>
        <v>Chương 2</v>
      </c>
      <c r="C202" t="str">
        <f>VLOOKUP(D202,Ngan_hang_cau_hoi!$B$2:$K$142,9,0)</f>
        <v>Trung bình</v>
      </c>
      <c r="D202">
        <f t="shared" si="6"/>
        <v>41</v>
      </c>
      <c r="F202">
        <f>IF(L202=2,COUNTIFS($L$1:L202,2,$B$1:B202,"Chương 2"),"")</f>
        <v>5</v>
      </c>
      <c r="G202" t="str">
        <f>VLOOKUP(D202,Ngan_hang_cau_hoi!$B$2:$K$142,L202,0)</f>
        <v>RAM DDR4 không thể lắp vào khe DDR5 vì lý do chính nào?</v>
      </c>
      <c r="H202" t="str">
        <f>IFERROR(VLOOKUP(J202,Ngan_hang_cau_hoi!$I$2:$L$142,4,0),"")</f>
        <v/>
      </c>
      <c r="J202" t="str">
        <f>IF(VLOOKUP(D202,Ngan_hang_cau_hoi!$B$2:$K$142,8,0)=G202,G202,"")</f>
        <v/>
      </c>
      <c r="L202">
        <f t="shared" si="7"/>
        <v>2</v>
      </c>
    </row>
    <row r="203" spans="1:12" x14ac:dyDescent="0.25">
      <c r="A203">
        <v>201</v>
      </c>
      <c r="B203" t="str">
        <f>VLOOKUP(D203,Ngan_hang_cau_hoi!$B$2:$K$142,10,0)</f>
        <v>Chương 2</v>
      </c>
      <c r="C203" t="str">
        <f>VLOOKUP(D203,Ngan_hang_cau_hoi!$B$2:$K$142,9,0)</f>
        <v>Trung bình</v>
      </c>
      <c r="D203">
        <f t="shared" si="6"/>
        <v>41</v>
      </c>
      <c r="F203" t="str">
        <f>IF(L203=2,COUNTIFS($L$1:L203,2,$B$1:B203,"Chương 2"),"")</f>
        <v/>
      </c>
      <c r="G203" t="str">
        <f>VLOOKUP(D203,Ngan_hang_cau_hoi!$B$2:$K$142,L203,0)</f>
        <v>Khác dung lượng</v>
      </c>
      <c r="H203" t="str">
        <f>IFERROR(VLOOKUP(J203,Ngan_hang_cau_hoi!$I$2:$L$142,4,0),"")</f>
        <v/>
      </c>
      <c r="J203" t="str">
        <f>IF(VLOOKUP(D203,Ngan_hang_cau_hoi!$B$2:$K$142,8,0)=G203,G203,"")</f>
        <v/>
      </c>
      <c r="L203">
        <f t="shared" si="7"/>
        <v>3</v>
      </c>
    </row>
    <row r="204" spans="1:12" x14ac:dyDescent="0.25">
      <c r="A204">
        <v>202</v>
      </c>
      <c r="B204" t="str">
        <f>VLOOKUP(D204,Ngan_hang_cau_hoi!$B$2:$K$142,10,0)</f>
        <v>Chương 2</v>
      </c>
      <c r="C204" t="str">
        <f>VLOOKUP(D204,Ngan_hang_cau_hoi!$B$2:$K$142,9,0)</f>
        <v>Trung bình</v>
      </c>
      <c r="D204">
        <f t="shared" si="6"/>
        <v>41</v>
      </c>
      <c r="F204" t="str">
        <f>IF(L204=2,COUNTIFS($L$1:L204,2,$B$1:B204,"Chương 2"),"")</f>
        <v/>
      </c>
      <c r="G204" t="str">
        <f>VLOOKUP(D204,Ngan_hang_cau_hoi!$B$2:$K$142,L204,0)</f>
        <v>Khác vị trí rãnh</v>
      </c>
      <c r="H204" t="str">
        <f>IFERROR(VLOOKUP(J204,Ngan_hang_cau_hoi!$I$2:$L$142,4,0),"")</f>
        <v>B</v>
      </c>
      <c r="J204" t="str">
        <f>IF(VLOOKUP(D204,Ngan_hang_cau_hoi!$B$2:$K$142,8,0)=G204,G204,"")</f>
        <v>Khác vị trí rãnh</v>
      </c>
      <c r="L204">
        <f t="shared" si="7"/>
        <v>4</v>
      </c>
    </row>
    <row r="205" spans="1:12" x14ac:dyDescent="0.25">
      <c r="A205">
        <v>203</v>
      </c>
      <c r="B205" t="str">
        <f>VLOOKUP(D205,Ngan_hang_cau_hoi!$B$2:$K$142,10,0)</f>
        <v>Chương 2</v>
      </c>
      <c r="C205" t="str">
        <f>VLOOKUP(D205,Ngan_hang_cau_hoi!$B$2:$K$142,9,0)</f>
        <v>Trung bình</v>
      </c>
      <c r="D205">
        <f t="shared" si="6"/>
        <v>41</v>
      </c>
      <c r="F205" t="str">
        <f>IF(L205=2,COUNTIFS($L$1:L205,2,$B$1:B205,"Chương 2"),"")</f>
        <v/>
      </c>
      <c r="G205" t="str">
        <f>VLOOKUP(D205,Ngan_hang_cau_hoi!$B$2:$K$142,L205,0)</f>
        <v>Khác hãng</v>
      </c>
      <c r="H205" t="str">
        <f>IFERROR(VLOOKUP(J205,Ngan_hang_cau_hoi!$I$2:$L$142,4,0),"")</f>
        <v/>
      </c>
      <c r="J205" t="str">
        <f>IF(VLOOKUP(D205,Ngan_hang_cau_hoi!$B$2:$K$142,8,0)=G205,G205,"")</f>
        <v/>
      </c>
      <c r="L205">
        <f t="shared" si="7"/>
        <v>5</v>
      </c>
    </row>
    <row r="206" spans="1:12" x14ac:dyDescent="0.25">
      <c r="A206">
        <v>204</v>
      </c>
      <c r="B206" t="str">
        <f>VLOOKUP(D206,Ngan_hang_cau_hoi!$B$2:$K$142,10,0)</f>
        <v>Chương 2</v>
      </c>
      <c r="C206" t="str">
        <f>VLOOKUP(D206,Ngan_hang_cau_hoi!$B$2:$K$142,9,0)</f>
        <v>Trung bình</v>
      </c>
      <c r="D206">
        <f t="shared" si="6"/>
        <v>41</v>
      </c>
      <c r="F206" t="str">
        <f>IF(L206=2,COUNTIFS($L$1:L206,2,$B$1:B206,"Chương 2"),"")</f>
        <v/>
      </c>
      <c r="G206" t="str">
        <f>VLOOKUP(D206,Ngan_hang_cau_hoi!$B$2:$K$142,L206,0)</f>
        <v>Khác màu</v>
      </c>
      <c r="H206" t="str">
        <f>IFERROR(VLOOKUP(J206,Ngan_hang_cau_hoi!$I$2:$L$142,4,0),"")</f>
        <v/>
      </c>
      <c r="J206" t="str">
        <f>IF(VLOOKUP(D206,Ngan_hang_cau_hoi!$B$2:$K$142,8,0)=G206,G206,"")</f>
        <v/>
      </c>
      <c r="L206">
        <f t="shared" si="7"/>
        <v>6</v>
      </c>
    </row>
    <row r="207" spans="1:12" x14ac:dyDescent="0.25">
      <c r="A207">
        <v>205</v>
      </c>
      <c r="B207" t="str">
        <f>VLOOKUP(D207,Ngan_hang_cau_hoi!$B$2:$K$142,10,0)</f>
        <v>Chương 2</v>
      </c>
      <c r="C207" t="str">
        <f>VLOOKUP(D207,Ngan_hang_cau_hoi!$B$2:$K$142,9,0)</f>
        <v>Trung bình</v>
      </c>
      <c r="D207">
        <f t="shared" si="6"/>
        <v>42</v>
      </c>
      <c r="F207">
        <f>IF(L207=2,COUNTIFS($L$1:L207,2,$B$1:B207,"Chương 2"),"")</f>
        <v>6</v>
      </c>
      <c r="G207" t="str">
        <f>VLOOKUP(D207,Ngan_hang_cau_hoi!$B$2:$K$142,L207,0)</f>
        <v>Nếu PSU công suất quá thấp có thể gây ra hiện tượng gì?</v>
      </c>
      <c r="H207" t="str">
        <f>IFERROR(VLOOKUP(J207,Ngan_hang_cau_hoi!$I$2:$L$142,4,0),"")</f>
        <v/>
      </c>
      <c r="J207" t="str">
        <f>IF(VLOOKUP(D207,Ngan_hang_cau_hoi!$B$2:$K$142,8,0)=G207,G207,"")</f>
        <v/>
      </c>
      <c r="L207">
        <f t="shared" si="7"/>
        <v>2</v>
      </c>
    </row>
    <row r="208" spans="1:12" x14ac:dyDescent="0.25">
      <c r="A208">
        <v>206</v>
      </c>
      <c r="B208" t="str">
        <f>VLOOKUP(D208,Ngan_hang_cau_hoi!$B$2:$K$142,10,0)</f>
        <v>Chương 2</v>
      </c>
      <c r="C208" t="str">
        <f>VLOOKUP(D208,Ngan_hang_cau_hoi!$B$2:$K$142,9,0)</f>
        <v>Trung bình</v>
      </c>
      <c r="D208">
        <f t="shared" si="6"/>
        <v>42</v>
      </c>
      <c r="F208" t="str">
        <f>IF(L208=2,COUNTIFS($L$1:L208,2,$B$1:B208,"Chương 2"),"")</f>
        <v/>
      </c>
      <c r="G208" t="str">
        <f>VLOOKUP(D208,Ngan_hang_cau_hoi!$B$2:$K$142,L208,0)</f>
        <v>Máy tắt đột ngột</v>
      </c>
      <c r="H208" t="str">
        <f>IFERROR(VLOOKUP(J208,Ngan_hang_cau_hoi!$I$2:$L$142,4,0),"")</f>
        <v>A</v>
      </c>
      <c r="J208" t="str">
        <f>IF(VLOOKUP(D208,Ngan_hang_cau_hoi!$B$2:$K$142,8,0)=G208,G208,"")</f>
        <v>Máy tắt đột ngột</v>
      </c>
      <c r="L208">
        <f t="shared" si="7"/>
        <v>3</v>
      </c>
    </row>
    <row r="209" spans="1:12" x14ac:dyDescent="0.25">
      <c r="A209">
        <v>207</v>
      </c>
      <c r="B209" t="str">
        <f>VLOOKUP(D209,Ngan_hang_cau_hoi!$B$2:$K$142,10,0)</f>
        <v>Chương 2</v>
      </c>
      <c r="C209" t="str">
        <f>VLOOKUP(D209,Ngan_hang_cau_hoi!$B$2:$K$142,9,0)</f>
        <v>Trung bình</v>
      </c>
      <c r="D209">
        <f t="shared" si="6"/>
        <v>42</v>
      </c>
      <c r="F209" t="str">
        <f>IF(L209=2,COUNTIFS($L$1:L209,2,$B$1:B209,"Chương 2"),"")</f>
        <v/>
      </c>
      <c r="G209" t="str">
        <f>VLOOKUP(D209,Ngan_hang_cau_hoi!$B$2:$K$142,L209,0)</f>
        <v>RAM tăng dung lượng</v>
      </c>
      <c r="H209" t="str">
        <f>IFERROR(VLOOKUP(J209,Ngan_hang_cau_hoi!$I$2:$L$142,4,0),"")</f>
        <v/>
      </c>
      <c r="J209" t="str">
        <f>IF(VLOOKUP(D209,Ngan_hang_cau_hoi!$B$2:$K$142,8,0)=G209,G209,"")</f>
        <v/>
      </c>
      <c r="L209">
        <f t="shared" si="7"/>
        <v>4</v>
      </c>
    </row>
    <row r="210" spans="1:12" x14ac:dyDescent="0.25">
      <c r="A210">
        <v>208</v>
      </c>
      <c r="B210" t="str">
        <f>VLOOKUP(D210,Ngan_hang_cau_hoi!$B$2:$K$142,10,0)</f>
        <v>Chương 2</v>
      </c>
      <c r="C210" t="str">
        <f>VLOOKUP(D210,Ngan_hang_cau_hoi!$B$2:$K$142,9,0)</f>
        <v>Trung bình</v>
      </c>
      <c r="D210">
        <f t="shared" si="6"/>
        <v>42</v>
      </c>
      <c r="F210" t="str">
        <f>IF(L210=2,COUNTIFS($L$1:L210,2,$B$1:B210,"Chương 2"),"")</f>
        <v/>
      </c>
      <c r="G210" t="str">
        <f>VLOOKUP(D210,Ngan_hang_cau_hoi!$B$2:$K$142,L210,0)</f>
        <v>SSD nhanh hơn</v>
      </c>
      <c r="H210" t="str">
        <f>IFERROR(VLOOKUP(J210,Ngan_hang_cau_hoi!$I$2:$L$142,4,0),"")</f>
        <v/>
      </c>
      <c r="J210" t="str">
        <f>IF(VLOOKUP(D210,Ngan_hang_cau_hoi!$B$2:$K$142,8,0)=G210,G210,"")</f>
        <v/>
      </c>
      <c r="L210">
        <f t="shared" si="7"/>
        <v>5</v>
      </c>
    </row>
    <row r="211" spans="1:12" x14ac:dyDescent="0.25">
      <c r="A211">
        <v>209</v>
      </c>
      <c r="B211" t="str">
        <f>VLOOKUP(D211,Ngan_hang_cau_hoi!$B$2:$K$142,10,0)</f>
        <v>Chương 2</v>
      </c>
      <c r="C211" t="str">
        <f>VLOOKUP(D211,Ngan_hang_cau_hoi!$B$2:$K$142,9,0)</f>
        <v>Trung bình</v>
      </c>
      <c r="D211">
        <f t="shared" si="6"/>
        <v>42</v>
      </c>
      <c r="F211" t="str">
        <f>IF(L211=2,COUNTIFS($L$1:L211,2,$B$1:B211,"Chương 2"),"")</f>
        <v/>
      </c>
      <c r="G211" t="str">
        <f>VLOOKUP(D211,Ngan_hang_cau_hoi!$B$2:$K$142,L211,0)</f>
        <v>GPU mạnh hơn</v>
      </c>
      <c r="H211" t="str">
        <f>IFERROR(VLOOKUP(J211,Ngan_hang_cau_hoi!$I$2:$L$142,4,0),"")</f>
        <v/>
      </c>
      <c r="J211" t="str">
        <f>IF(VLOOKUP(D211,Ngan_hang_cau_hoi!$B$2:$K$142,8,0)=G211,G211,"")</f>
        <v/>
      </c>
      <c r="L211">
        <f t="shared" si="7"/>
        <v>6</v>
      </c>
    </row>
    <row r="212" spans="1:12" x14ac:dyDescent="0.25">
      <c r="A212">
        <v>210</v>
      </c>
      <c r="B212" t="str">
        <f>VLOOKUP(D212,Ngan_hang_cau_hoi!$B$2:$K$142,10,0)</f>
        <v>Chương 2</v>
      </c>
      <c r="C212" t="str">
        <f>VLOOKUP(D212,Ngan_hang_cau_hoi!$B$2:$K$142,9,0)</f>
        <v>Trung bình</v>
      </c>
      <c r="D212">
        <f t="shared" si="6"/>
        <v>43</v>
      </c>
      <c r="F212">
        <f>IF(L212=2,COUNTIFS($L$1:L212,2,$B$1:B212,"Chương 2"),"")</f>
        <v>7</v>
      </c>
      <c r="G212" t="str">
        <f>VLOOKUP(D212,Ngan_hang_cau_hoi!$B$2:$K$142,L212,0)</f>
        <v>Máy bật nhưng không lên hình, nguyên nhân phổ biến nhất khi lắp ráp?</v>
      </c>
      <c r="H212" t="str">
        <f>IFERROR(VLOOKUP(J212,Ngan_hang_cau_hoi!$I$2:$L$142,4,0),"")</f>
        <v/>
      </c>
      <c r="J212" t="str">
        <f>IF(VLOOKUP(D212,Ngan_hang_cau_hoi!$B$2:$K$142,8,0)=G212,G212,"")</f>
        <v/>
      </c>
      <c r="L212">
        <f t="shared" si="7"/>
        <v>2</v>
      </c>
    </row>
    <row r="213" spans="1:12" x14ac:dyDescent="0.25">
      <c r="A213">
        <v>211</v>
      </c>
      <c r="B213" t="str">
        <f>VLOOKUP(D213,Ngan_hang_cau_hoi!$B$2:$K$142,10,0)</f>
        <v>Chương 2</v>
      </c>
      <c r="C213" t="str">
        <f>VLOOKUP(D213,Ngan_hang_cau_hoi!$B$2:$K$142,9,0)</f>
        <v>Trung bình</v>
      </c>
      <c r="D213">
        <f t="shared" si="6"/>
        <v>43</v>
      </c>
      <c r="F213" t="str">
        <f>IF(L213=2,COUNTIFS($L$1:L213,2,$B$1:B213,"Chương 2"),"")</f>
        <v/>
      </c>
      <c r="G213" t="str">
        <f>VLOOKUP(D213,Ngan_hang_cau_hoi!$B$2:$K$142,L213,0)</f>
        <v>RAM lỏng</v>
      </c>
      <c r="H213" t="str">
        <f>IFERROR(VLOOKUP(J213,Ngan_hang_cau_hoi!$I$2:$L$142,4,0),"")</f>
        <v>A</v>
      </c>
      <c r="J213" t="str">
        <f>IF(VLOOKUP(D213,Ngan_hang_cau_hoi!$B$2:$K$142,8,0)=G213,G213,"")</f>
        <v>RAM lỏng</v>
      </c>
      <c r="L213">
        <f t="shared" si="7"/>
        <v>3</v>
      </c>
    </row>
    <row r="214" spans="1:12" x14ac:dyDescent="0.25">
      <c r="A214">
        <v>212</v>
      </c>
      <c r="B214" t="str">
        <f>VLOOKUP(D214,Ngan_hang_cau_hoi!$B$2:$K$142,10,0)</f>
        <v>Chương 2</v>
      </c>
      <c r="C214" t="str">
        <f>VLOOKUP(D214,Ngan_hang_cau_hoi!$B$2:$K$142,9,0)</f>
        <v>Trung bình</v>
      </c>
      <c r="D214">
        <f t="shared" si="6"/>
        <v>43</v>
      </c>
      <c r="F214" t="str">
        <f>IF(L214=2,COUNTIFS($L$1:L214,2,$B$1:B214,"Chương 2"),"")</f>
        <v/>
      </c>
      <c r="G214" t="str">
        <f>VLOOKUP(D214,Ngan_hang_cau_hoi!$B$2:$K$142,L214,0)</f>
        <v>Chuột lỗi</v>
      </c>
      <c r="H214" t="str">
        <f>IFERROR(VLOOKUP(J214,Ngan_hang_cau_hoi!$I$2:$L$142,4,0),"")</f>
        <v/>
      </c>
      <c r="J214" t="str">
        <f>IF(VLOOKUP(D214,Ngan_hang_cau_hoi!$B$2:$K$142,8,0)=G214,G214,"")</f>
        <v/>
      </c>
      <c r="L214">
        <f t="shared" si="7"/>
        <v>4</v>
      </c>
    </row>
    <row r="215" spans="1:12" x14ac:dyDescent="0.25">
      <c r="A215">
        <v>213</v>
      </c>
      <c r="B215" t="str">
        <f>VLOOKUP(D215,Ngan_hang_cau_hoi!$B$2:$K$142,10,0)</f>
        <v>Chương 2</v>
      </c>
      <c r="C215" t="str">
        <f>VLOOKUP(D215,Ngan_hang_cau_hoi!$B$2:$K$142,9,0)</f>
        <v>Trung bình</v>
      </c>
      <c r="D215">
        <f t="shared" si="6"/>
        <v>43</v>
      </c>
      <c r="F215" t="str">
        <f>IF(L215=2,COUNTIFS($L$1:L215,2,$B$1:B215,"Chương 2"),"")</f>
        <v/>
      </c>
      <c r="G215" t="str">
        <f>VLOOKUP(D215,Ngan_hang_cau_hoi!$B$2:$K$142,L215,0)</f>
        <v>Bàn phím lỗi</v>
      </c>
      <c r="H215" t="str">
        <f>IFERROR(VLOOKUP(J215,Ngan_hang_cau_hoi!$I$2:$L$142,4,0),"")</f>
        <v/>
      </c>
      <c r="J215" t="str">
        <f>IF(VLOOKUP(D215,Ngan_hang_cau_hoi!$B$2:$K$142,8,0)=G215,G215,"")</f>
        <v/>
      </c>
      <c r="L215">
        <f t="shared" si="7"/>
        <v>5</v>
      </c>
    </row>
    <row r="216" spans="1:12" x14ac:dyDescent="0.25">
      <c r="A216">
        <v>214</v>
      </c>
      <c r="B216" t="str">
        <f>VLOOKUP(D216,Ngan_hang_cau_hoi!$B$2:$K$142,10,0)</f>
        <v>Chương 2</v>
      </c>
      <c r="C216" t="str">
        <f>VLOOKUP(D216,Ngan_hang_cau_hoi!$B$2:$K$142,9,0)</f>
        <v>Trung bình</v>
      </c>
      <c r="D216">
        <f t="shared" si="6"/>
        <v>43</v>
      </c>
      <c r="F216" t="str">
        <f>IF(L216=2,COUNTIFS($L$1:L216,2,$B$1:B216,"Chương 2"),"")</f>
        <v/>
      </c>
      <c r="G216" t="str">
        <f>VLOOKUP(D216,Ngan_hang_cau_hoi!$B$2:$K$142,L216,0)</f>
        <v>Loa lỗi</v>
      </c>
      <c r="H216" t="str">
        <f>IFERROR(VLOOKUP(J216,Ngan_hang_cau_hoi!$I$2:$L$142,4,0),"")</f>
        <v/>
      </c>
      <c r="J216" t="str">
        <f>IF(VLOOKUP(D216,Ngan_hang_cau_hoi!$B$2:$K$142,8,0)=G216,G216,"")</f>
        <v/>
      </c>
      <c r="L216">
        <f t="shared" si="7"/>
        <v>6</v>
      </c>
    </row>
    <row r="217" spans="1:12" x14ac:dyDescent="0.25">
      <c r="A217">
        <v>215</v>
      </c>
      <c r="B217" t="str">
        <f>VLOOKUP(D217,Ngan_hang_cau_hoi!$B$2:$K$142,10,0)</f>
        <v>Chương 2</v>
      </c>
      <c r="C217" t="str">
        <f>VLOOKUP(D217,Ngan_hang_cau_hoi!$B$2:$K$142,9,0)</f>
        <v>Trung bình</v>
      </c>
      <c r="D217">
        <f t="shared" si="6"/>
        <v>44</v>
      </c>
      <c r="F217">
        <f>IF(L217=2,COUNTIFS($L$1:L217,2,$B$1:B217,"Chương 2"),"")</f>
        <v>8</v>
      </c>
      <c r="G217" t="str">
        <f>VLOOKUP(D217,Ngan_hang_cau_hoi!$B$2:$K$142,L217,0)</f>
        <v>Lắp SSD NVMe vào khe SATA:</v>
      </c>
      <c r="H217" t="str">
        <f>IFERROR(VLOOKUP(J217,Ngan_hang_cau_hoi!$I$2:$L$142,4,0),"")</f>
        <v/>
      </c>
      <c r="J217" t="str">
        <f>IF(VLOOKUP(D217,Ngan_hang_cau_hoi!$B$2:$K$142,8,0)=G217,G217,"")</f>
        <v/>
      </c>
      <c r="L217">
        <f t="shared" si="7"/>
        <v>2</v>
      </c>
    </row>
    <row r="218" spans="1:12" x14ac:dyDescent="0.25">
      <c r="A218">
        <v>216</v>
      </c>
      <c r="B218" t="str">
        <f>VLOOKUP(D218,Ngan_hang_cau_hoi!$B$2:$K$142,10,0)</f>
        <v>Chương 2</v>
      </c>
      <c r="C218" t="str">
        <f>VLOOKUP(D218,Ngan_hang_cau_hoi!$B$2:$K$142,9,0)</f>
        <v>Trung bình</v>
      </c>
      <c r="D218">
        <f t="shared" si="6"/>
        <v>44</v>
      </c>
      <c r="F218" t="str">
        <f>IF(L218=2,COUNTIFS($L$1:L218,2,$B$1:B218,"Chương 2"),"")</f>
        <v/>
      </c>
      <c r="G218" t="str">
        <f>VLOOKUP(D218,Ngan_hang_cau_hoi!$B$2:$K$142,L218,0)</f>
        <v>Không lắp được</v>
      </c>
      <c r="H218" t="str">
        <f>IFERROR(VLOOKUP(J218,Ngan_hang_cau_hoi!$I$2:$L$142,4,0),"")</f>
        <v>B</v>
      </c>
      <c r="J218" t="str">
        <f>IF(VLOOKUP(D218,Ngan_hang_cau_hoi!$B$2:$K$142,8,0)=G218,G218,"")</f>
        <v>Không lắp được</v>
      </c>
      <c r="L218">
        <f t="shared" si="7"/>
        <v>3</v>
      </c>
    </row>
    <row r="219" spans="1:12" x14ac:dyDescent="0.25">
      <c r="A219">
        <v>217</v>
      </c>
      <c r="B219" t="str">
        <f>VLOOKUP(D219,Ngan_hang_cau_hoi!$B$2:$K$142,10,0)</f>
        <v>Chương 2</v>
      </c>
      <c r="C219" t="str">
        <f>VLOOKUP(D219,Ngan_hang_cau_hoi!$B$2:$K$142,9,0)</f>
        <v>Trung bình</v>
      </c>
      <c r="D219">
        <f t="shared" si="6"/>
        <v>44</v>
      </c>
      <c r="F219" t="str">
        <f>IF(L219=2,COUNTIFS($L$1:L219,2,$B$1:B219,"Chương 2"),"")</f>
        <v/>
      </c>
      <c r="G219" t="str">
        <f>VLOOKUP(D219,Ngan_hang_cau_hoi!$B$2:$K$142,L219,0)</f>
        <v>Chạy chậm</v>
      </c>
      <c r="H219" t="str">
        <f>IFERROR(VLOOKUP(J219,Ngan_hang_cau_hoi!$I$2:$L$142,4,0),"")</f>
        <v/>
      </c>
      <c r="J219" t="str">
        <f>IF(VLOOKUP(D219,Ngan_hang_cau_hoi!$B$2:$K$142,8,0)=G219,G219,"")</f>
        <v/>
      </c>
      <c r="L219">
        <f t="shared" si="7"/>
        <v>4</v>
      </c>
    </row>
    <row r="220" spans="1:12" x14ac:dyDescent="0.25">
      <c r="A220">
        <v>218</v>
      </c>
      <c r="B220" t="str">
        <f>VLOOKUP(D220,Ngan_hang_cau_hoi!$B$2:$K$142,10,0)</f>
        <v>Chương 2</v>
      </c>
      <c r="C220" t="str">
        <f>VLOOKUP(D220,Ngan_hang_cau_hoi!$B$2:$K$142,9,0)</f>
        <v>Trung bình</v>
      </c>
      <c r="D220">
        <f t="shared" si="6"/>
        <v>44</v>
      </c>
      <c r="F220" t="str">
        <f>IF(L220=2,COUNTIFS($L$1:L220,2,$B$1:B220,"Chương 2"),"")</f>
        <v/>
      </c>
      <c r="G220" t="str">
        <f>VLOOKUP(D220,Ngan_hang_cau_hoi!$B$2:$K$142,L220,0)</f>
        <v>Chạy bình thường</v>
      </c>
      <c r="H220" t="str">
        <f>IFERROR(VLOOKUP(J220,Ngan_hang_cau_hoi!$I$2:$L$142,4,0),"")</f>
        <v/>
      </c>
      <c r="J220" t="str">
        <f>IF(VLOOKUP(D220,Ngan_hang_cau_hoi!$B$2:$K$142,8,0)=G220,G220,"")</f>
        <v/>
      </c>
      <c r="L220">
        <f t="shared" si="7"/>
        <v>5</v>
      </c>
    </row>
    <row r="221" spans="1:12" x14ac:dyDescent="0.25">
      <c r="A221">
        <v>219</v>
      </c>
      <c r="B221" t="str">
        <f>VLOOKUP(D221,Ngan_hang_cau_hoi!$B$2:$K$142,10,0)</f>
        <v>Chương 2</v>
      </c>
      <c r="C221" t="str">
        <f>VLOOKUP(D221,Ngan_hang_cau_hoi!$B$2:$K$142,9,0)</f>
        <v>Trung bình</v>
      </c>
      <c r="D221">
        <f t="shared" si="6"/>
        <v>44</v>
      </c>
      <c r="F221" t="str">
        <f>IF(L221=2,COUNTIFS($L$1:L221,2,$B$1:B221,"Chương 2"),"")</f>
        <v/>
      </c>
      <c r="G221" t="str">
        <f>VLOOKUP(D221,Ngan_hang_cau_hoi!$B$2:$K$142,L221,0)</f>
        <v>Không nhận RAM</v>
      </c>
      <c r="H221" t="str">
        <f>IFERROR(VLOOKUP(J221,Ngan_hang_cau_hoi!$I$2:$L$142,4,0),"")</f>
        <v/>
      </c>
      <c r="J221" t="str">
        <f>IF(VLOOKUP(D221,Ngan_hang_cau_hoi!$B$2:$K$142,8,0)=G221,G221,"")</f>
        <v/>
      </c>
      <c r="L221">
        <f t="shared" si="7"/>
        <v>6</v>
      </c>
    </row>
    <row r="222" spans="1:12" x14ac:dyDescent="0.25">
      <c r="A222">
        <v>220</v>
      </c>
      <c r="B222" t="str">
        <f>VLOOKUP(D222,Ngan_hang_cau_hoi!$B$2:$K$142,10,0)</f>
        <v>Chương 2</v>
      </c>
      <c r="C222" t="str">
        <f>VLOOKUP(D222,Ngan_hang_cau_hoi!$B$2:$K$142,9,0)</f>
        <v>Trung bình</v>
      </c>
      <c r="D222">
        <f t="shared" si="6"/>
        <v>45</v>
      </c>
      <c r="F222">
        <f>IF(L222=2,COUNTIFS($L$1:L222,2,$B$1:B222,"Chương 2"),"")</f>
        <v>9</v>
      </c>
      <c r="G222" t="str">
        <f>VLOOKUP(D222,Ngan_hang_cau_hoi!$B$2:$K$142,L222,0)</f>
        <v>Lắp SSD NVMe nhưng BIOS không nhận. Nguyên nhân có thể là gì?</v>
      </c>
      <c r="H222" t="str">
        <f>IFERROR(VLOOKUP(J222,Ngan_hang_cau_hoi!$I$2:$L$142,4,0),"")</f>
        <v/>
      </c>
      <c r="J222" t="str">
        <f>IF(VLOOKUP(D222,Ngan_hang_cau_hoi!$B$2:$K$142,8,0)=G222,G222,"")</f>
        <v/>
      </c>
      <c r="L222">
        <f t="shared" si="7"/>
        <v>2</v>
      </c>
    </row>
    <row r="223" spans="1:12" x14ac:dyDescent="0.25">
      <c r="A223">
        <v>221</v>
      </c>
      <c r="B223" t="str">
        <f>VLOOKUP(D223,Ngan_hang_cau_hoi!$B$2:$K$142,10,0)</f>
        <v>Chương 2</v>
      </c>
      <c r="C223" t="str">
        <f>VLOOKUP(D223,Ngan_hang_cau_hoi!$B$2:$K$142,9,0)</f>
        <v>Trung bình</v>
      </c>
      <c r="D223">
        <f t="shared" si="6"/>
        <v>45</v>
      </c>
      <c r="F223" t="str">
        <f>IF(L223=2,COUNTIFS($L$1:L223,2,$B$1:B223,"Chương 2"),"")</f>
        <v/>
      </c>
      <c r="G223" t="str">
        <f>VLOOKUP(D223,Ngan_hang_cau_hoi!$B$2:$K$142,L223,0)</f>
        <v>Main không hỗ trợ NVMe</v>
      </c>
      <c r="H223" t="str">
        <f>IFERROR(VLOOKUP(J223,Ngan_hang_cau_hoi!$I$2:$L$142,4,0),"")</f>
        <v>A</v>
      </c>
      <c r="J223" t="str">
        <f>IF(VLOOKUP(D223,Ngan_hang_cau_hoi!$B$2:$K$142,8,0)=G223,G223,"")</f>
        <v>Main không hỗ trợ NVMe</v>
      </c>
      <c r="L223">
        <f t="shared" si="7"/>
        <v>3</v>
      </c>
    </row>
    <row r="224" spans="1:12" x14ac:dyDescent="0.25">
      <c r="A224">
        <v>222</v>
      </c>
      <c r="B224" t="str">
        <f>VLOOKUP(D224,Ngan_hang_cau_hoi!$B$2:$K$142,10,0)</f>
        <v>Chương 2</v>
      </c>
      <c r="C224" t="str">
        <f>VLOOKUP(D224,Ngan_hang_cau_hoi!$B$2:$K$142,9,0)</f>
        <v>Trung bình</v>
      </c>
      <c r="D224">
        <f t="shared" si="6"/>
        <v>45</v>
      </c>
      <c r="F224" t="str">
        <f>IF(L224=2,COUNTIFS($L$1:L224,2,$B$1:B224,"Chương 2"),"")</f>
        <v/>
      </c>
      <c r="G224" t="str">
        <f>VLOOKUP(D224,Ngan_hang_cau_hoi!$B$2:$K$142,L224,0)</f>
        <v>RAM lỗi</v>
      </c>
      <c r="H224" t="str">
        <f>IFERROR(VLOOKUP(J224,Ngan_hang_cau_hoi!$I$2:$L$142,4,0),"")</f>
        <v/>
      </c>
      <c r="J224" t="str">
        <f>IF(VLOOKUP(D224,Ngan_hang_cau_hoi!$B$2:$K$142,8,0)=G224,G224,"")</f>
        <v/>
      </c>
      <c r="L224">
        <f t="shared" si="7"/>
        <v>4</v>
      </c>
    </row>
    <row r="225" spans="1:12" x14ac:dyDescent="0.25">
      <c r="A225">
        <v>223</v>
      </c>
      <c r="B225" t="str">
        <f>VLOOKUP(D225,Ngan_hang_cau_hoi!$B$2:$K$142,10,0)</f>
        <v>Chương 2</v>
      </c>
      <c r="C225" t="str">
        <f>VLOOKUP(D225,Ngan_hang_cau_hoi!$B$2:$K$142,9,0)</f>
        <v>Trung bình</v>
      </c>
      <c r="D225">
        <f t="shared" si="6"/>
        <v>45</v>
      </c>
      <c r="F225" t="str">
        <f>IF(L225=2,COUNTIFS($L$1:L225,2,$B$1:B225,"Chương 2"),"")</f>
        <v/>
      </c>
      <c r="G225" t="str">
        <f>VLOOKUP(D225,Ngan_hang_cau_hoi!$B$2:$K$142,L225,0)</f>
        <v>GPU yếu</v>
      </c>
      <c r="H225" t="str">
        <f>IFERROR(VLOOKUP(J225,Ngan_hang_cau_hoi!$I$2:$L$142,4,0),"")</f>
        <v/>
      </c>
      <c r="J225" t="str">
        <f>IF(VLOOKUP(D225,Ngan_hang_cau_hoi!$B$2:$K$142,8,0)=G225,G225,"")</f>
        <v/>
      </c>
      <c r="L225">
        <f t="shared" si="7"/>
        <v>5</v>
      </c>
    </row>
    <row r="226" spans="1:12" x14ac:dyDescent="0.25">
      <c r="A226">
        <v>224</v>
      </c>
      <c r="B226" t="str">
        <f>VLOOKUP(D226,Ngan_hang_cau_hoi!$B$2:$K$142,10,0)</f>
        <v>Chương 2</v>
      </c>
      <c r="C226" t="str">
        <f>VLOOKUP(D226,Ngan_hang_cau_hoi!$B$2:$K$142,9,0)</f>
        <v>Trung bình</v>
      </c>
      <c r="D226">
        <f t="shared" si="6"/>
        <v>45</v>
      </c>
      <c r="F226" t="str">
        <f>IF(L226=2,COUNTIFS($L$1:L226,2,$B$1:B226,"Chương 2"),"")</f>
        <v/>
      </c>
      <c r="G226" t="str">
        <f>VLOOKUP(D226,Ngan_hang_cau_hoi!$B$2:$K$142,L226,0)</f>
        <v>Màn hình hỏng</v>
      </c>
      <c r="H226" t="str">
        <f>IFERROR(VLOOKUP(J226,Ngan_hang_cau_hoi!$I$2:$L$142,4,0),"")</f>
        <v/>
      </c>
      <c r="J226" t="str">
        <f>IF(VLOOKUP(D226,Ngan_hang_cau_hoi!$B$2:$K$142,8,0)=G226,G226,"")</f>
        <v/>
      </c>
      <c r="L226">
        <f t="shared" si="7"/>
        <v>6</v>
      </c>
    </row>
    <row r="227" spans="1:12" x14ac:dyDescent="0.25">
      <c r="A227">
        <v>225</v>
      </c>
      <c r="B227" t="str">
        <f>VLOOKUP(D227,Ngan_hang_cau_hoi!$B$2:$K$142,10,0)</f>
        <v>Chương 2</v>
      </c>
      <c r="C227" t="str">
        <f>VLOOKUP(D227,Ngan_hang_cau_hoi!$B$2:$K$142,9,0)</f>
        <v>Trung bình</v>
      </c>
      <c r="D227">
        <f t="shared" si="6"/>
        <v>46</v>
      </c>
      <c r="F227">
        <f>IF(L227=2,COUNTIFS($L$1:L227,2,$B$1:B227,"Chương 2"),"")</f>
        <v>10</v>
      </c>
      <c r="G227" t="str">
        <f>VLOOKUP(D227,Ngan_hang_cau_hoi!$B$2:$K$142,L227,0)</f>
        <v>Khe M.2 trên mainboard thường dùng để lắp linh kiện nào?</v>
      </c>
      <c r="H227" t="str">
        <f>IFERROR(VLOOKUP(J227,Ngan_hang_cau_hoi!$I$2:$L$142,4,0),"")</f>
        <v/>
      </c>
      <c r="J227" t="str">
        <f>IF(VLOOKUP(D227,Ngan_hang_cau_hoi!$B$2:$K$142,8,0)=G227,G227,"")</f>
        <v/>
      </c>
      <c r="L227">
        <f t="shared" si="7"/>
        <v>2</v>
      </c>
    </row>
    <row r="228" spans="1:12" x14ac:dyDescent="0.25">
      <c r="A228">
        <v>226</v>
      </c>
      <c r="B228" t="str">
        <f>VLOOKUP(D228,Ngan_hang_cau_hoi!$B$2:$K$142,10,0)</f>
        <v>Chương 2</v>
      </c>
      <c r="C228" t="str">
        <f>VLOOKUP(D228,Ngan_hang_cau_hoi!$B$2:$K$142,9,0)</f>
        <v>Trung bình</v>
      </c>
      <c r="D228">
        <f t="shared" si="6"/>
        <v>46</v>
      </c>
      <c r="F228" t="str">
        <f>IF(L228=2,COUNTIFS($L$1:L228,2,$B$1:B228,"Chương 2"),"")</f>
        <v/>
      </c>
      <c r="G228" t="str">
        <f>VLOOKUP(D228,Ngan_hang_cau_hoi!$B$2:$K$142,L228,0)</f>
        <v>RAM</v>
      </c>
      <c r="H228" t="str">
        <f>IFERROR(VLOOKUP(J228,Ngan_hang_cau_hoi!$I$2:$L$142,4,0),"")</f>
        <v/>
      </c>
      <c r="J228" t="str">
        <f>IF(VLOOKUP(D228,Ngan_hang_cau_hoi!$B$2:$K$142,8,0)=G228,G228,"")</f>
        <v/>
      </c>
      <c r="L228">
        <f t="shared" si="7"/>
        <v>3</v>
      </c>
    </row>
    <row r="229" spans="1:12" x14ac:dyDescent="0.25">
      <c r="A229">
        <v>227</v>
      </c>
      <c r="B229" t="str">
        <f>VLOOKUP(D229,Ngan_hang_cau_hoi!$B$2:$K$142,10,0)</f>
        <v>Chương 2</v>
      </c>
      <c r="C229" t="str">
        <f>VLOOKUP(D229,Ngan_hang_cau_hoi!$B$2:$K$142,9,0)</f>
        <v>Trung bình</v>
      </c>
      <c r="D229">
        <f t="shared" si="6"/>
        <v>46</v>
      </c>
      <c r="F229" t="str">
        <f>IF(L229=2,COUNTIFS($L$1:L229,2,$B$1:B229,"Chương 2"),"")</f>
        <v/>
      </c>
      <c r="G229" t="str">
        <f>VLOOKUP(D229,Ngan_hang_cau_hoi!$B$2:$K$142,L229,0)</f>
        <v>SSD NVMe</v>
      </c>
      <c r="H229" t="str">
        <f>IFERROR(VLOOKUP(J229,Ngan_hang_cau_hoi!$I$2:$L$142,4,0),"")</f>
        <v>B</v>
      </c>
      <c r="J229" t="str">
        <f>IF(VLOOKUP(D229,Ngan_hang_cau_hoi!$B$2:$K$142,8,0)=G229,G229,"")</f>
        <v>SSD NVMe</v>
      </c>
      <c r="L229">
        <f t="shared" si="7"/>
        <v>4</v>
      </c>
    </row>
    <row r="230" spans="1:12" x14ac:dyDescent="0.25">
      <c r="A230">
        <v>228</v>
      </c>
      <c r="B230" t="str">
        <f>VLOOKUP(D230,Ngan_hang_cau_hoi!$B$2:$K$142,10,0)</f>
        <v>Chương 2</v>
      </c>
      <c r="C230" t="str">
        <f>VLOOKUP(D230,Ngan_hang_cau_hoi!$B$2:$K$142,9,0)</f>
        <v>Trung bình</v>
      </c>
      <c r="D230">
        <f t="shared" si="6"/>
        <v>46</v>
      </c>
      <c r="F230" t="str">
        <f>IF(L230=2,COUNTIFS($L$1:L230,2,$B$1:B230,"Chương 2"),"")</f>
        <v/>
      </c>
      <c r="G230" t="str">
        <f>VLOOKUP(D230,Ngan_hang_cau_hoi!$B$2:$K$142,L230,0)</f>
        <v>GPU</v>
      </c>
      <c r="H230" t="str">
        <f>IFERROR(VLOOKUP(J230,Ngan_hang_cau_hoi!$I$2:$L$142,4,0),"")</f>
        <v/>
      </c>
      <c r="J230" t="str">
        <f>IF(VLOOKUP(D230,Ngan_hang_cau_hoi!$B$2:$K$142,8,0)=G230,G230,"")</f>
        <v/>
      </c>
      <c r="L230">
        <f t="shared" si="7"/>
        <v>5</v>
      </c>
    </row>
    <row r="231" spans="1:12" x14ac:dyDescent="0.25">
      <c r="A231">
        <v>229</v>
      </c>
      <c r="B231" t="str">
        <f>VLOOKUP(D231,Ngan_hang_cau_hoi!$B$2:$K$142,10,0)</f>
        <v>Chương 2</v>
      </c>
      <c r="C231" t="str">
        <f>VLOOKUP(D231,Ngan_hang_cau_hoi!$B$2:$K$142,9,0)</f>
        <v>Trung bình</v>
      </c>
      <c r="D231">
        <f t="shared" si="6"/>
        <v>46</v>
      </c>
      <c r="F231" t="str">
        <f>IF(L231=2,COUNTIFS($L$1:L231,2,$B$1:B231,"Chương 2"),"")</f>
        <v/>
      </c>
      <c r="G231" t="str">
        <f>VLOOKUP(D231,Ngan_hang_cau_hoi!$B$2:$K$142,L231,0)</f>
        <v>CPU</v>
      </c>
      <c r="H231" t="str">
        <f>IFERROR(VLOOKUP(J231,Ngan_hang_cau_hoi!$I$2:$L$142,4,0),"")</f>
        <v/>
      </c>
      <c r="J231" t="str">
        <f>IF(VLOOKUP(D231,Ngan_hang_cau_hoi!$B$2:$K$142,8,0)=G231,G231,"")</f>
        <v/>
      </c>
      <c r="L231">
        <f t="shared" si="7"/>
        <v>6</v>
      </c>
    </row>
    <row r="232" spans="1:12" x14ac:dyDescent="0.25">
      <c r="A232">
        <v>230</v>
      </c>
      <c r="B232" t="str">
        <f>VLOOKUP(D232,Ngan_hang_cau_hoi!$B$2:$K$142,10,0)</f>
        <v>Chương 2</v>
      </c>
      <c r="C232" t="str">
        <f>VLOOKUP(D232,Ngan_hang_cau_hoi!$B$2:$K$142,9,0)</f>
        <v>Trung bình</v>
      </c>
      <c r="D232">
        <f t="shared" si="6"/>
        <v>47</v>
      </c>
      <c r="F232">
        <f>IF(L232=2,COUNTIFS($L$1:L232,2,$B$1:B232,"Chương 2"),"")</f>
        <v>11</v>
      </c>
      <c r="G232" t="str">
        <f>VLOOKUP(D232,Ngan_hang_cau_hoi!$B$2:$K$142,L232,0)</f>
        <v>CPU quá nhiệt thường do nguyên nhân nào?</v>
      </c>
      <c r="H232" t="str">
        <f>IFERROR(VLOOKUP(J232,Ngan_hang_cau_hoi!$I$2:$L$142,4,0),"")</f>
        <v/>
      </c>
      <c r="J232" t="str">
        <f>IF(VLOOKUP(D232,Ngan_hang_cau_hoi!$B$2:$K$142,8,0)=G232,G232,"")</f>
        <v/>
      </c>
      <c r="L232">
        <f t="shared" si="7"/>
        <v>2</v>
      </c>
    </row>
    <row r="233" spans="1:12" x14ac:dyDescent="0.25">
      <c r="A233">
        <v>231</v>
      </c>
      <c r="B233" t="str">
        <f>VLOOKUP(D233,Ngan_hang_cau_hoi!$B$2:$K$142,10,0)</f>
        <v>Chương 2</v>
      </c>
      <c r="C233" t="str">
        <f>VLOOKUP(D233,Ngan_hang_cau_hoi!$B$2:$K$142,9,0)</f>
        <v>Trung bình</v>
      </c>
      <c r="D233">
        <f t="shared" si="6"/>
        <v>47</v>
      </c>
      <c r="F233" t="str">
        <f>IF(L233=2,COUNTIFS($L$1:L233,2,$B$1:B233,"Chương 2"),"")</f>
        <v/>
      </c>
      <c r="G233" t="str">
        <f>VLOOKUP(D233,Ngan_hang_cau_hoi!$B$2:$K$142,L233,0)</f>
        <v>Thiếu keo tản nhiệt</v>
      </c>
      <c r="H233" t="str">
        <f>IFERROR(VLOOKUP(J233,Ngan_hang_cau_hoi!$I$2:$L$142,4,0),"")</f>
        <v>A</v>
      </c>
      <c r="J233" t="str">
        <f>IF(VLOOKUP(D233,Ngan_hang_cau_hoi!$B$2:$K$142,8,0)=G233,G233,"")</f>
        <v>Thiếu keo tản nhiệt</v>
      </c>
      <c r="L233">
        <f t="shared" si="7"/>
        <v>3</v>
      </c>
    </row>
    <row r="234" spans="1:12" x14ac:dyDescent="0.25">
      <c r="A234">
        <v>232</v>
      </c>
      <c r="B234" t="str">
        <f>VLOOKUP(D234,Ngan_hang_cau_hoi!$B$2:$K$142,10,0)</f>
        <v>Chương 2</v>
      </c>
      <c r="C234" t="str">
        <f>VLOOKUP(D234,Ngan_hang_cau_hoi!$B$2:$K$142,9,0)</f>
        <v>Trung bình</v>
      </c>
      <c r="D234">
        <f t="shared" si="6"/>
        <v>47</v>
      </c>
      <c r="F234" t="str">
        <f>IF(L234=2,COUNTIFS($L$1:L234,2,$B$1:B234,"Chương 2"),"")</f>
        <v/>
      </c>
      <c r="G234" t="str">
        <f>VLOOKUP(D234,Ngan_hang_cau_hoi!$B$2:$K$142,L234,0)</f>
        <v>Thiếu RAM</v>
      </c>
      <c r="H234" t="str">
        <f>IFERROR(VLOOKUP(J234,Ngan_hang_cau_hoi!$I$2:$L$142,4,0),"")</f>
        <v/>
      </c>
      <c r="J234" t="str">
        <f>IF(VLOOKUP(D234,Ngan_hang_cau_hoi!$B$2:$K$142,8,0)=G234,G234,"")</f>
        <v/>
      </c>
      <c r="L234">
        <f t="shared" si="7"/>
        <v>4</v>
      </c>
    </row>
    <row r="235" spans="1:12" x14ac:dyDescent="0.25">
      <c r="A235">
        <v>233</v>
      </c>
      <c r="B235" t="str">
        <f>VLOOKUP(D235,Ngan_hang_cau_hoi!$B$2:$K$142,10,0)</f>
        <v>Chương 2</v>
      </c>
      <c r="C235" t="str">
        <f>VLOOKUP(D235,Ngan_hang_cau_hoi!$B$2:$K$142,9,0)</f>
        <v>Trung bình</v>
      </c>
      <c r="D235">
        <f t="shared" si="6"/>
        <v>47</v>
      </c>
      <c r="F235" t="str">
        <f>IF(L235=2,COUNTIFS($L$1:L235,2,$B$1:B235,"Chương 2"),"")</f>
        <v/>
      </c>
      <c r="G235" t="str">
        <f>VLOOKUP(D235,Ngan_hang_cau_hoi!$B$2:$K$142,L235,0)</f>
        <v>Ổ cứng chậm</v>
      </c>
      <c r="H235" t="str">
        <f>IFERROR(VLOOKUP(J235,Ngan_hang_cau_hoi!$I$2:$L$142,4,0),"")</f>
        <v/>
      </c>
      <c r="J235" t="str">
        <f>IF(VLOOKUP(D235,Ngan_hang_cau_hoi!$B$2:$K$142,8,0)=G235,G235,"")</f>
        <v/>
      </c>
      <c r="L235">
        <f t="shared" si="7"/>
        <v>5</v>
      </c>
    </row>
    <row r="236" spans="1:12" x14ac:dyDescent="0.25">
      <c r="A236">
        <v>234</v>
      </c>
      <c r="B236" t="str">
        <f>VLOOKUP(D236,Ngan_hang_cau_hoi!$B$2:$K$142,10,0)</f>
        <v>Chương 2</v>
      </c>
      <c r="C236" t="str">
        <f>VLOOKUP(D236,Ngan_hang_cau_hoi!$B$2:$K$142,9,0)</f>
        <v>Trung bình</v>
      </c>
      <c r="D236">
        <f t="shared" si="6"/>
        <v>47</v>
      </c>
      <c r="F236" t="str">
        <f>IF(L236=2,COUNTIFS($L$1:L236,2,$B$1:B236,"Chương 2"),"")</f>
        <v/>
      </c>
      <c r="G236" t="str">
        <f>VLOOKUP(D236,Ngan_hang_cau_hoi!$B$2:$K$142,L236,0)</f>
        <v>Thiếu chuột</v>
      </c>
      <c r="H236" t="str">
        <f>IFERROR(VLOOKUP(J236,Ngan_hang_cau_hoi!$I$2:$L$142,4,0),"")</f>
        <v/>
      </c>
      <c r="J236" t="str">
        <f>IF(VLOOKUP(D236,Ngan_hang_cau_hoi!$B$2:$K$142,8,0)=G236,G236,"")</f>
        <v/>
      </c>
      <c r="L236">
        <f t="shared" si="7"/>
        <v>6</v>
      </c>
    </row>
    <row r="237" spans="1:12" x14ac:dyDescent="0.25">
      <c r="A237">
        <v>235</v>
      </c>
      <c r="B237" t="str">
        <f>VLOOKUP(D237,Ngan_hang_cau_hoi!$B$2:$K$142,10,0)</f>
        <v>Chương 3 &amp; 4</v>
      </c>
      <c r="C237" t="str">
        <f>VLOOKUP(D237,Ngan_hang_cau_hoi!$B$2:$K$142,9,0)</f>
        <v>Trung bình</v>
      </c>
      <c r="D237">
        <f t="shared" si="6"/>
        <v>48</v>
      </c>
      <c r="F237">
        <f>IF(L237=2,COUNTIFS($L$1:L237,2,$B$1:B237,"Chương 3 &amp; 4"),"")</f>
        <v>1</v>
      </c>
      <c r="G237" t="str">
        <f>VLOOKUP(D237,Ngan_hang_cau_hoi!$B$2:$K$142,L237,0)</f>
        <v>Trong quá trình tạo USB boot, thao tác “Start” trong Rufus có nghĩa là:</v>
      </c>
      <c r="H237" t="str">
        <f>IFERROR(VLOOKUP(J237,Ngan_hang_cau_hoi!$I$2:$L$142,4,0),"")</f>
        <v/>
      </c>
      <c r="J237" t="str">
        <f>IF(VLOOKUP(D237,Ngan_hang_cau_hoi!$B$2:$K$142,8,0)=G237,G237,"")</f>
        <v/>
      </c>
      <c r="L237">
        <f t="shared" si="7"/>
        <v>2</v>
      </c>
    </row>
    <row r="238" spans="1:12" x14ac:dyDescent="0.25">
      <c r="A238">
        <v>236</v>
      </c>
      <c r="B238" t="str">
        <f>VLOOKUP(D238,Ngan_hang_cau_hoi!$B$2:$K$142,10,0)</f>
        <v>Chương 3 &amp; 4</v>
      </c>
      <c r="C238" t="str">
        <f>VLOOKUP(D238,Ngan_hang_cau_hoi!$B$2:$K$142,9,0)</f>
        <v>Trung bình</v>
      </c>
      <c r="D238">
        <f t="shared" si="6"/>
        <v>48</v>
      </c>
      <c r="F238" t="str">
        <f>IF(L238=2,COUNTIFS($L$1:L238,2,$B$1:B238,"Chương 3 &amp; 4"),"")</f>
        <v/>
      </c>
      <c r="G238" t="str">
        <f>VLOOKUP(D238,Ngan_hang_cau_hoi!$B$2:$K$142,L238,0)</f>
        <v>Bắt đầu xóa Windows</v>
      </c>
      <c r="H238" t="str">
        <f>IFERROR(VLOOKUP(J238,Ngan_hang_cau_hoi!$I$2:$L$142,4,0),"")</f>
        <v/>
      </c>
      <c r="J238" t="str">
        <f>IF(VLOOKUP(D238,Ngan_hang_cau_hoi!$B$2:$K$142,8,0)=G238,G238,"")</f>
        <v/>
      </c>
      <c r="L238">
        <f t="shared" si="7"/>
        <v>3</v>
      </c>
    </row>
    <row r="239" spans="1:12" x14ac:dyDescent="0.25">
      <c r="A239">
        <v>237</v>
      </c>
      <c r="B239" t="str">
        <f>VLOOKUP(D239,Ngan_hang_cau_hoi!$B$2:$K$142,10,0)</f>
        <v>Chương 3 &amp; 4</v>
      </c>
      <c r="C239" t="str">
        <f>VLOOKUP(D239,Ngan_hang_cau_hoi!$B$2:$K$142,9,0)</f>
        <v>Trung bình</v>
      </c>
      <c r="D239">
        <f t="shared" si="6"/>
        <v>48</v>
      </c>
      <c r="F239" t="str">
        <f>IF(L239=2,COUNTIFS($L$1:L239,2,$B$1:B239,"Chương 3 &amp; 4"),"")</f>
        <v/>
      </c>
      <c r="G239" t="str">
        <f>VLOOKUP(D239,Ngan_hang_cau_hoi!$B$2:$K$142,L239,0)</f>
        <v>Bắt đầu xóa dữ liệu ổ cứng</v>
      </c>
      <c r="H239" t="str">
        <f>IFERROR(VLOOKUP(J239,Ngan_hang_cau_hoi!$I$2:$L$142,4,0),"")</f>
        <v/>
      </c>
      <c r="J239" t="str">
        <f>IF(VLOOKUP(D239,Ngan_hang_cau_hoi!$B$2:$K$142,8,0)=G239,G239,"")</f>
        <v/>
      </c>
      <c r="L239">
        <f t="shared" si="7"/>
        <v>4</v>
      </c>
    </row>
    <row r="240" spans="1:12" x14ac:dyDescent="0.25">
      <c r="A240">
        <v>238</v>
      </c>
      <c r="B240" t="str">
        <f>VLOOKUP(D240,Ngan_hang_cau_hoi!$B$2:$K$142,10,0)</f>
        <v>Chương 3 &amp; 4</v>
      </c>
      <c r="C240" t="str">
        <f>VLOOKUP(D240,Ngan_hang_cau_hoi!$B$2:$K$142,9,0)</f>
        <v>Trung bình</v>
      </c>
      <c r="D240">
        <f t="shared" si="6"/>
        <v>48</v>
      </c>
      <c r="F240" t="str">
        <f>IF(L240=2,COUNTIFS($L$1:L240,2,$B$1:B240,"Chương 3 &amp; 4"),"")</f>
        <v/>
      </c>
      <c r="G240" t="str">
        <f>VLOOKUP(D240,Ngan_hang_cau_hoi!$B$2:$K$142,L240,0)</f>
        <v>Bắt đầu ghi file ISO vào USB</v>
      </c>
      <c r="H240" t="str">
        <f>IFERROR(VLOOKUP(J240,Ngan_hang_cau_hoi!$I$2:$L$142,4,0),"")</f>
        <v>C</v>
      </c>
      <c r="J240" t="str">
        <f>IF(VLOOKUP(D240,Ngan_hang_cau_hoi!$B$2:$K$142,8,0)=G240,G240,"")</f>
        <v>Bắt đầu ghi file ISO vào USB</v>
      </c>
      <c r="L240">
        <f t="shared" si="7"/>
        <v>5</v>
      </c>
    </row>
    <row r="241" spans="1:12" x14ac:dyDescent="0.25">
      <c r="A241">
        <v>239</v>
      </c>
      <c r="B241" t="str">
        <f>VLOOKUP(D241,Ngan_hang_cau_hoi!$B$2:$K$142,10,0)</f>
        <v>Chương 3 &amp; 4</v>
      </c>
      <c r="C241" t="str">
        <f>VLOOKUP(D241,Ngan_hang_cau_hoi!$B$2:$K$142,9,0)</f>
        <v>Trung bình</v>
      </c>
      <c r="D241">
        <f t="shared" si="6"/>
        <v>48</v>
      </c>
      <c r="F241" t="str">
        <f>IF(L241=2,COUNTIFS($L$1:L241,2,$B$1:B241,"Chương 3 &amp; 4"),"")</f>
        <v/>
      </c>
      <c r="G241" t="str">
        <f>VLOOKUP(D241,Ngan_hang_cau_hoi!$B$2:$K$142,L241,0)</f>
        <v>Tăng tốc USB</v>
      </c>
      <c r="H241" t="str">
        <f>IFERROR(VLOOKUP(J241,Ngan_hang_cau_hoi!$I$2:$L$142,4,0),"")</f>
        <v/>
      </c>
      <c r="J241" t="str">
        <f>IF(VLOOKUP(D241,Ngan_hang_cau_hoi!$B$2:$K$142,8,0)=G241,G241,"")</f>
        <v/>
      </c>
      <c r="L241">
        <f t="shared" si="7"/>
        <v>6</v>
      </c>
    </row>
    <row r="242" spans="1:12" x14ac:dyDescent="0.25">
      <c r="A242">
        <v>240</v>
      </c>
      <c r="B242" t="str">
        <f>VLOOKUP(D242,Ngan_hang_cau_hoi!$B$2:$K$142,10,0)</f>
        <v>Chương 3 &amp; 4</v>
      </c>
      <c r="C242" t="str">
        <f>VLOOKUP(D242,Ngan_hang_cau_hoi!$B$2:$K$142,9,0)</f>
        <v>Trung bình</v>
      </c>
      <c r="D242">
        <f t="shared" si="6"/>
        <v>49</v>
      </c>
      <c r="F242">
        <f>IF(L242=2,COUNTIFS($L$1:L242,2,$B$1:B242,"Chương 3 &amp; 4"),"")</f>
        <v>2</v>
      </c>
      <c r="G242" t="str">
        <f>VLOOKUP(D242,Ngan_hang_cau_hoi!$B$2:$K$142,L242,0)</f>
        <v>Trong Norton Ghost, để sao lưu toàn bộ ổ đĩa, chọn:</v>
      </c>
      <c r="H242" t="str">
        <f>IFERROR(VLOOKUP(J242,Ngan_hang_cau_hoi!$I$2:$L$142,4,0),"")</f>
        <v/>
      </c>
      <c r="J242" t="str">
        <f>IF(VLOOKUP(D242,Ngan_hang_cau_hoi!$B$2:$K$142,8,0)=G242,G242,"")</f>
        <v/>
      </c>
      <c r="L242">
        <f t="shared" si="7"/>
        <v>2</v>
      </c>
    </row>
    <row r="243" spans="1:12" x14ac:dyDescent="0.25">
      <c r="A243">
        <v>241</v>
      </c>
      <c r="B243" t="str">
        <f>VLOOKUP(D243,Ngan_hang_cau_hoi!$B$2:$K$142,10,0)</f>
        <v>Chương 3 &amp; 4</v>
      </c>
      <c r="C243" t="str">
        <f>VLOOKUP(D243,Ngan_hang_cau_hoi!$B$2:$K$142,9,0)</f>
        <v>Trung bình</v>
      </c>
      <c r="D243">
        <f t="shared" si="6"/>
        <v>49</v>
      </c>
      <c r="F243" t="str">
        <f>IF(L243=2,COUNTIFS($L$1:L243,2,$B$1:B243,"Chương 3 &amp; 4"),"")</f>
        <v/>
      </c>
      <c r="G243" t="str">
        <f>VLOOKUP(D243,Ngan_hang_cau_hoi!$B$2:$K$142,L243,0)</f>
        <v>Partition to Image</v>
      </c>
      <c r="H243" t="str">
        <f>IFERROR(VLOOKUP(J243,Ngan_hang_cau_hoi!$I$2:$L$142,4,0),"")</f>
        <v/>
      </c>
      <c r="J243" t="str">
        <f>IF(VLOOKUP(D243,Ngan_hang_cau_hoi!$B$2:$K$142,8,0)=G243,G243,"")</f>
        <v/>
      </c>
      <c r="L243">
        <f t="shared" si="7"/>
        <v>3</v>
      </c>
    </row>
    <row r="244" spans="1:12" x14ac:dyDescent="0.25">
      <c r="A244">
        <v>242</v>
      </c>
      <c r="B244" t="str">
        <f>VLOOKUP(D244,Ngan_hang_cau_hoi!$B$2:$K$142,10,0)</f>
        <v>Chương 3 &amp; 4</v>
      </c>
      <c r="C244" t="str">
        <f>VLOOKUP(D244,Ngan_hang_cau_hoi!$B$2:$K$142,9,0)</f>
        <v>Trung bình</v>
      </c>
      <c r="D244">
        <f t="shared" si="6"/>
        <v>49</v>
      </c>
      <c r="F244" t="str">
        <f>IF(L244=2,COUNTIFS($L$1:L244,2,$B$1:B244,"Chương 3 &amp; 4"),"")</f>
        <v/>
      </c>
      <c r="G244" t="str">
        <f>VLOOKUP(D244,Ngan_hang_cau_hoi!$B$2:$K$142,L244,0)</f>
        <v>Image to Disk</v>
      </c>
      <c r="H244" t="str">
        <f>IFERROR(VLOOKUP(J244,Ngan_hang_cau_hoi!$I$2:$L$142,4,0),"")</f>
        <v/>
      </c>
      <c r="J244" t="str">
        <f>IF(VLOOKUP(D244,Ngan_hang_cau_hoi!$B$2:$K$142,8,0)=G244,G244,"")</f>
        <v/>
      </c>
      <c r="L244">
        <f t="shared" si="7"/>
        <v>4</v>
      </c>
    </row>
    <row r="245" spans="1:12" x14ac:dyDescent="0.25">
      <c r="A245">
        <v>243</v>
      </c>
      <c r="B245" t="str">
        <f>VLOOKUP(D245,Ngan_hang_cau_hoi!$B$2:$K$142,10,0)</f>
        <v>Chương 3 &amp; 4</v>
      </c>
      <c r="C245" t="str">
        <f>VLOOKUP(D245,Ngan_hang_cau_hoi!$B$2:$K$142,9,0)</f>
        <v>Trung bình</v>
      </c>
      <c r="D245">
        <f t="shared" si="6"/>
        <v>49</v>
      </c>
      <c r="F245" t="str">
        <f>IF(L245=2,COUNTIFS($L$1:L245,2,$B$1:B245,"Chương 3 &amp; 4"),"")</f>
        <v/>
      </c>
      <c r="G245" t="str">
        <f>VLOOKUP(D245,Ngan_hang_cau_hoi!$B$2:$K$142,L245,0)</f>
        <v>Disk to Partition</v>
      </c>
      <c r="H245" t="str">
        <f>IFERROR(VLOOKUP(J245,Ngan_hang_cau_hoi!$I$2:$L$142,4,0),"")</f>
        <v/>
      </c>
      <c r="J245" t="str">
        <f>IF(VLOOKUP(D245,Ngan_hang_cau_hoi!$B$2:$K$142,8,0)=G245,G245,"")</f>
        <v/>
      </c>
      <c r="L245">
        <f t="shared" si="7"/>
        <v>5</v>
      </c>
    </row>
    <row r="246" spans="1:12" x14ac:dyDescent="0.25">
      <c r="A246">
        <v>244</v>
      </c>
      <c r="B246" t="str">
        <f>VLOOKUP(D246,Ngan_hang_cau_hoi!$B$2:$K$142,10,0)</f>
        <v>Chương 3 &amp; 4</v>
      </c>
      <c r="C246" t="str">
        <f>VLOOKUP(D246,Ngan_hang_cau_hoi!$B$2:$K$142,9,0)</f>
        <v>Trung bình</v>
      </c>
      <c r="D246">
        <f t="shared" si="6"/>
        <v>49</v>
      </c>
      <c r="F246" t="str">
        <f>IF(L246=2,COUNTIFS($L$1:L246,2,$B$1:B246,"Chương 3 &amp; 4"),"")</f>
        <v/>
      </c>
      <c r="G246" t="str">
        <f>VLOOKUP(D246,Ngan_hang_cau_hoi!$B$2:$K$142,L246,0)</f>
        <v>Disk to Image</v>
      </c>
      <c r="H246" t="str">
        <f>IFERROR(VLOOKUP(J246,Ngan_hang_cau_hoi!$I$2:$L$142,4,0),"")</f>
        <v>D</v>
      </c>
      <c r="J246" t="str">
        <f>IF(VLOOKUP(D246,Ngan_hang_cau_hoi!$B$2:$K$142,8,0)=G246,G246,"")</f>
        <v>Disk to Image</v>
      </c>
      <c r="L246">
        <f t="shared" si="7"/>
        <v>6</v>
      </c>
    </row>
    <row r="247" spans="1:12" x14ac:dyDescent="0.25">
      <c r="A247">
        <v>245</v>
      </c>
      <c r="B247" t="str">
        <f>VLOOKUP(D247,Ngan_hang_cau_hoi!$B$2:$K$142,10,0)</f>
        <v>Chương 3 &amp; 4</v>
      </c>
      <c r="C247" t="str">
        <f>VLOOKUP(D247,Ngan_hang_cau_hoi!$B$2:$K$142,9,0)</f>
        <v>Trung bình</v>
      </c>
      <c r="D247">
        <f t="shared" si="6"/>
        <v>50</v>
      </c>
      <c r="F247">
        <f>IF(L247=2,COUNTIFS($L$1:L247,2,$B$1:B247,"Chương 3 &amp; 4"),"")</f>
        <v>3</v>
      </c>
      <c r="G247" t="str">
        <f>VLOOKUP(D247,Ngan_hang_cau_hoi!$B$2:$K$142,L247,0)</f>
        <v>Trong Hệ điều hành Windows, công cụ nào dùng để tạo bản sao toàn bộ hệ thống?</v>
      </c>
      <c r="H247" t="str">
        <f>IFERROR(VLOOKUP(J247,Ngan_hang_cau_hoi!$I$2:$L$142,4,0),"")</f>
        <v/>
      </c>
      <c r="J247" t="str">
        <f>IF(VLOOKUP(D247,Ngan_hang_cau_hoi!$B$2:$K$142,8,0)=G247,G247,"")</f>
        <v/>
      </c>
      <c r="L247">
        <f t="shared" si="7"/>
        <v>2</v>
      </c>
    </row>
    <row r="248" spans="1:12" x14ac:dyDescent="0.25">
      <c r="A248">
        <v>246</v>
      </c>
      <c r="B248" t="str">
        <f>VLOOKUP(D248,Ngan_hang_cau_hoi!$B$2:$K$142,10,0)</f>
        <v>Chương 3 &amp; 4</v>
      </c>
      <c r="C248" t="str">
        <f>VLOOKUP(D248,Ngan_hang_cau_hoi!$B$2:$K$142,9,0)</f>
        <v>Trung bình</v>
      </c>
      <c r="D248">
        <f t="shared" si="6"/>
        <v>50</v>
      </c>
      <c r="F248" t="str">
        <f>IF(L248=2,COUNTIFS($L$1:L248,2,$B$1:B248,"Chương 3 &amp; 4"),"")</f>
        <v/>
      </c>
      <c r="G248" t="str">
        <f>VLOOKUP(D248,Ngan_hang_cau_hoi!$B$2:$K$142,L248,0)</f>
        <v>Disk Cleanup</v>
      </c>
      <c r="H248" t="str">
        <f>IFERROR(VLOOKUP(J248,Ngan_hang_cau_hoi!$I$2:$L$142,4,0),"")</f>
        <v/>
      </c>
      <c r="J248" t="str">
        <f>IF(VLOOKUP(D248,Ngan_hang_cau_hoi!$B$2:$K$142,8,0)=G248,G248,"")</f>
        <v/>
      </c>
      <c r="L248">
        <f t="shared" si="7"/>
        <v>3</v>
      </c>
    </row>
    <row r="249" spans="1:12" x14ac:dyDescent="0.25">
      <c r="A249">
        <v>247</v>
      </c>
      <c r="B249" t="str">
        <f>VLOOKUP(D249,Ngan_hang_cau_hoi!$B$2:$K$142,10,0)</f>
        <v>Chương 3 &amp; 4</v>
      </c>
      <c r="C249" t="str">
        <f>VLOOKUP(D249,Ngan_hang_cau_hoi!$B$2:$K$142,9,0)</f>
        <v>Trung bình</v>
      </c>
      <c r="D249">
        <f t="shared" si="6"/>
        <v>50</v>
      </c>
      <c r="F249" t="str">
        <f>IF(L249=2,COUNTIFS($L$1:L249,2,$B$1:B249,"Chương 3 &amp; 4"),"")</f>
        <v/>
      </c>
      <c r="G249" t="str">
        <f>VLOOKUP(D249,Ngan_hang_cau_hoi!$B$2:$K$142,L249,0)</f>
        <v>System Image Backup</v>
      </c>
      <c r="H249" t="str">
        <f>IFERROR(VLOOKUP(J249,Ngan_hang_cau_hoi!$I$2:$L$142,4,0),"")</f>
        <v>B</v>
      </c>
      <c r="J249" t="str">
        <f>IF(VLOOKUP(D249,Ngan_hang_cau_hoi!$B$2:$K$142,8,0)=G249,G249,"")</f>
        <v>System Image Backup</v>
      </c>
      <c r="L249">
        <f t="shared" si="7"/>
        <v>4</v>
      </c>
    </row>
    <row r="250" spans="1:12" x14ac:dyDescent="0.25">
      <c r="A250">
        <v>248</v>
      </c>
      <c r="B250" t="str">
        <f>VLOOKUP(D250,Ngan_hang_cau_hoi!$B$2:$K$142,10,0)</f>
        <v>Chương 3 &amp; 4</v>
      </c>
      <c r="C250" t="str">
        <f>VLOOKUP(D250,Ngan_hang_cau_hoi!$B$2:$K$142,9,0)</f>
        <v>Trung bình</v>
      </c>
      <c r="D250">
        <f t="shared" si="6"/>
        <v>50</v>
      </c>
      <c r="F250" t="str">
        <f>IF(L250=2,COUNTIFS($L$1:L250,2,$B$1:B250,"Chương 3 &amp; 4"),"")</f>
        <v/>
      </c>
      <c r="G250" t="str">
        <f>VLOOKUP(D250,Ngan_hang_cau_hoi!$B$2:$K$142,L250,0)</f>
        <v>Device Manager</v>
      </c>
      <c r="H250" t="str">
        <f>IFERROR(VLOOKUP(J250,Ngan_hang_cau_hoi!$I$2:$L$142,4,0),"")</f>
        <v/>
      </c>
      <c r="J250" t="str">
        <f>IF(VLOOKUP(D250,Ngan_hang_cau_hoi!$B$2:$K$142,8,0)=G250,G250,"")</f>
        <v/>
      </c>
      <c r="L250">
        <f t="shared" si="7"/>
        <v>5</v>
      </c>
    </row>
    <row r="251" spans="1:12" x14ac:dyDescent="0.25">
      <c r="A251">
        <v>249</v>
      </c>
      <c r="B251" t="str">
        <f>VLOOKUP(D251,Ngan_hang_cau_hoi!$B$2:$K$142,10,0)</f>
        <v>Chương 3 &amp; 4</v>
      </c>
      <c r="C251" t="str">
        <f>VLOOKUP(D251,Ngan_hang_cau_hoi!$B$2:$K$142,9,0)</f>
        <v>Trung bình</v>
      </c>
      <c r="D251">
        <f t="shared" si="6"/>
        <v>50</v>
      </c>
      <c r="F251" t="str">
        <f>IF(L251=2,COUNTIFS($L$1:L251,2,$B$1:B251,"Chương 3 &amp; 4"),"")</f>
        <v/>
      </c>
      <c r="G251" t="str">
        <f>VLOOKUP(D251,Ngan_hang_cau_hoi!$B$2:$K$142,L251,0)</f>
        <v>Task Manager</v>
      </c>
      <c r="H251" t="str">
        <f>IFERROR(VLOOKUP(J251,Ngan_hang_cau_hoi!$I$2:$L$142,4,0),"")</f>
        <v/>
      </c>
      <c r="J251" t="str">
        <f>IF(VLOOKUP(D251,Ngan_hang_cau_hoi!$B$2:$K$142,8,0)=G251,G251,"")</f>
        <v/>
      </c>
      <c r="L251">
        <f t="shared" si="7"/>
        <v>6</v>
      </c>
    </row>
    <row r="252" spans="1:12" x14ac:dyDescent="0.25">
      <c r="A252">
        <v>250</v>
      </c>
      <c r="B252" t="str">
        <f>VLOOKUP(D252,Ngan_hang_cau_hoi!$B$2:$K$142,10,0)</f>
        <v>Chương 3 &amp; 4</v>
      </c>
      <c r="C252" t="str">
        <f>VLOOKUP(D252,Ngan_hang_cau_hoi!$B$2:$K$142,9,0)</f>
        <v>Trung bình</v>
      </c>
      <c r="D252">
        <f t="shared" si="6"/>
        <v>51</v>
      </c>
      <c r="F252">
        <f>IF(L252=2,COUNTIFS($L$1:L252,2,$B$1:B252,"Chương 3 &amp; 4"),"")</f>
        <v>4</v>
      </c>
      <c r="G252" t="str">
        <f>VLOOKUP(D252,Ngan_hang_cau_hoi!$B$2:$K$142,L252,0)</f>
        <v>Thiết bị lưu trữ nào phù hợp nhất để backup dài hạn?</v>
      </c>
      <c r="H252" t="str">
        <f>IFERROR(VLOOKUP(J252,Ngan_hang_cau_hoi!$I$2:$L$142,4,0),"")</f>
        <v/>
      </c>
      <c r="J252" t="str">
        <f>IF(VLOOKUP(D252,Ngan_hang_cau_hoi!$B$2:$K$142,8,0)=G252,G252,"")</f>
        <v/>
      </c>
      <c r="L252">
        <f t="shared" si="7"/>
        <v>2</v>
      </c>
    </row>
    <row r="253" spans="1:12" x14ac:dyDescent="0.25">
      <c r="A253">
        <v>251</v>
      </c>
      <c r="B253" t="str">
        <f>VLOOKUP(D253,Ngan_hang_cau_hoi!$B$2:$K$142,10,0)</f>
        <v>Chương 3 &amp; 4</v>
      </c>
      <c r="C253" t="str">
        <f>VLOOKUP(D253,Ngan_hang_cau_hoi!$B$2:$K$142,9,0)</f>
        <v>Trung bình</v>
      </c>
      <c r="D253">
        <f t="shared" si="6"/>
        <v>51</v>
      </c>
      <c r="F253" t="str">
        <f>IF(L253=2,COUNTIFS($L$1:L253,2,$B$1:B253,"Chương 3 &amp; 4"),"")</f>
        <v/>
      </c>
      <c r="G253" t="str">
        <f>VLOOKUP(D253,Ngan_hang_cau_hoi!$B$2:$K$142,L253,0)</f>
        <v>USB</v>
      </c>
      <c r="H253" t="str">
        <f>IFERROR(VLOOKUP(J253,Ngan_hang_cau_hoi!$I$2:$L$142,4,0),"")</f>
        <v/>
      </c>
      <c r="J253" t="str">
        <f>IF(VLOOKUP(D253,Ngan_hang_cau_hoi!$B$2:$K$142,8,0)=G253,G253,"")</f>
        <v/>
      </c>
      <c r="L253">
        <f t="shared" si="7"/>
        <v>3</v>
      </c>
    </row>
    <row r="254" spans="1:12" x14ac:dyDescent="0.25">
      <c r="A254">
        <v>252</v>
      </c>
      <c r="B254" t="str">
        <f>VLOOKUP(D254,Ngan_hang_cau_hoi!$B$2:$K$142,10,0)</f>
        <v>Chương 3 &amp; 4</v>
      </c>
      <c r="C254" t="str">
        <f>VLOOKUP(D254,Ngan_hang_cau_hoi!$B$2:$K$142,9,0)</f>
        <v>Trung bình</v>
      </c>
      <c r="D254">
        <f t="shared" si="6"/>
        <v>51</v>
      </c>
      <c r="F254" t="str">
        <f>IF(L254=2,COUNTIFS($L$1:L254,2,$B$1:B254,"Chương 3 &amp; 4"),"")</f>
        <v/>
      </c>
      <c r="G254" t="str">
        <f>VLOOKUP(D254,Ngan_hang_cau_hoi!$B$2:$K$142,L254,0)</f>
        <v>RAM</v>
      </c>
      <c r="H254" t="str">
        <f>IFERROR(VLOOKUP(J254,Ngan_hang_cau_hoi!$I$2:$L$142,4,0),"")</f>
        <v/>
      </c>
      <c r="J254" t="str">
        <f>IF(VLOOKUP(D254,Ngan_hang_cau_hoi!$B$2:$K$142,8,0)=G254,G254,"")</f>
        <v/>
      </c>
      <c r="L254">
        <f t="shared" si="7"/>
        <v>4</v>
      </c>
    </row>
    <row r="255" spans="1:12" x14ac:dyDescent="0.25">
      <c r="A255">
        <v>253</v>
      </c>
      <c r="B255" t="str">
        <f>VLOOKUP(D255,Ngan_hang_cau_hoi!$B$2:$K$142,10,0)</f>
        <v>Chương 3 &amp; 4</v>
      </c>
      <c r="C255" t="str">
        <f>VLOOKUP(D255,Ngan_hang_cau_hoi!$B$2:$K$142,9,0)</f>
        <v>Trung bình</v>
      </c>
      <c r="D255">
        <f t="shared" si="6"/>
        <v>51</v>
      </c>
      <c r="F255" t="str">
        <f>IF(L255=2,COUNTIFS($L$1:L255,2,$B$1:B255,"Chương 3 &amp; 4"),"")</f>
        <v/>
      </c>
      <c r="G255" t="str">
        <f>VLOOKUP(D255,Ngan_hang_cau_hoi!$B$2:$K$142,L255,0)</f>
        <v>HDD</v>
      </c>
      <c r="H255" t="str">
        <f>IFERROR(VLOOKUP(J255,Ngan_hang_cau_hoi!$I$2:$L$142,4,0),"")</f>
        <v>C</v>
      </c>
      <c r="J255" t="str">
        <f>IF(VLOOKUP(D255,Ngan_hang_cau_hoi!$B$2:$K$142,8,0)=G255,G255,"")</f>
        <v>HDD</v>
      </c>
      <c r="L255">
        <f t="shared" si="7"/>
        <v>5</v>
      </c>
    </row>
    <row r="256" spans="1:12" x14ac:dyDescent="0.25">
      <c r="A256">
        <v>254</v>
      </c>
      <c r="B256" t="str">
        <f>VLOOKUP(D256,Ngan_hang_cau_hoi!$B$2:$K$142,10,0)</f>
        <v>Chương 3 &amp; 4</v>
      </c>
      <c r="C256" t="str">
        <f>VLOOKUP(D256,Ngan_hang_cau_hoi!$B$2:$K$142,9,0)</f>
        <v>Trung bình</v>
      </c>
      <c r="D256">
        <f t="shared" si="6"/>
        <v>51</v>
      </c>
      <c r="F256" t="str">
        <f>IF(L256=2,COUNTIFS($L$1:L256,2,$B$1:B256,"Chương 3 &amp; 4"),"")</f>
        <v/>
      </c>
      <c r="G256" t="str">
        <f>VLOOKUP(D256,Ngan_hang_cau_hoi!$B$2:$K$142,L256,0)</f>
        <v>Cache</v>
      </c>
      <c r="H256" t="str">
        <f>IFERROR(VLOOKUP(J256,Ngan_hang_cau_hoi!$I$2:$L$142,4,0),"")</f>
        <v/>
      </c>
      <c r="J256" t="str">
        <f>IF(VLOOKUP(D256,Ngan_hang_cau_hoi!$B$2:$K$142,8,0)=G256,G256,"")</f>
        <v/>
      </c>
      <c r="L256">
        <f t="shared" si="7"/>
        <v>6</v>
      </c>
    </row>
    <row r="257" spans="1:12" x14ac:dyDescent="0.25">
      <c r="A257">
        <v>255</v>
      </c>
      <c r="B257" t="str">
        <f>VLOOKUP(D257,Ngan_hang_cau_hoi!$B$2:$K$142,10,0)</f>
        <v>Chương 3 &amp; 4</v>
      </c>
      <c r="C257" t="str">
        <f>VLOOKUP(D257,Ngan_hang_cau_hoi!$B$2:$K$142,9,0)</f>
        <v>Trung bình</v>
      </c>
      <c r="D257">
        <f t="shared" si="6"/>
        <v>52</v>
      </c>
      <c r="F257">
        <f>IF(L257=2,COUNTIFS($L$1:L257,2,$B$1:B257,"Chương 3 &amp; 4"),"")</f>
        <v>5</v>
      </c>
      <c r="G257" t="str">
        <f>VLOOKUP(D257,Ngan_hang_cau_hoi!$B$2:$K$142,L257,0)</f>
        <v>Sau khi cài driver mới, Windows bị màn hình xanh. Giải pháp tốt nhất:</v>
      </c>
      <c r="H257" t="str">
        <f>IFERROR(VLOOKUP(J257,Ngan_hang_cau_hoi!$I$2:$L$142,4,0),"")</f>
        <v/>
      </c>
      <c r="J257" t="str">
        <f>IF(VLOOKUP(D257,Ngan_hang_cau_hoi!$B$2:$K$142,8,0)=G257,G257,"")</f>
        <v/>
      </c>
      <c r="L257">
        <f t="shared" si="7"/>
        <v>2</v>
      </c>
    </row>
    <row r="258" spans="1:12" x14ac:dyDescent="0.25">
      <c r="A258">
        <v>256</v>
      </c>
      <c r="B258" t="str">
        <f>VLOOKUP(D258,Ngan_hang_cau_hoi!$B$2:$K$142,10,0)</f>
        <v>Chương 3 &amp; 4</v>
      </c>
      <c r="C258" t="str">
        <f>VLOOKUP(D258,Ngan_hang_cau_hoi!$B$2:$K$142,9,0)</f>
        <v>Trung bình</v>
      </c>
      <c r="D258">
        <f t="shared" si="6"/>
        <v>52</v>
      </c>
      <c r="F258" t="str">
        <f>IF(L258=2,COUNTIFS($L$1:L258,2,$B$1:B258,"Chương 3 &amp; 4"),"")</f>
        <v/>
      </c>
      <c r="G258" t="str">
        <f>VLOOKUP(D258,Ngan_hang_cau_hoi!$B$2:$K$142,L258,0)</f>
        <v>Thay SSD</v>
      </c>
      <c r="H258" t="str">
        <f>IFERROR(VLOOKUP(J258,Ngan_hang_cau_hoi!$I$2:$L$142,4,0),"")</f>
        <v/>
      </c>
      <c r="J258" t="str">
        <f>IF(VLOOKUP(D258,Ngan_hang_cau_hoi!$B$2:$K$142,8,0)=G258,G258,"")</f>
        <v/>
      </c>
      <c r="L258">
        <f t="shared" si="7"/>
        <v>3</v>
      </c>
    </row>
    <row r="259" spans="1:12" x14ac:dyDescent="0.25">
      <c r="A259">
        <v>257</v>
      </c>
      <c r="B259" t="str">
        <f>VLOOKUP(D259,Ngan_hang_cau_hoi!$B$2:$K$142,10,0)</f>
        <v>Chương 3 &amp; 4</v>
      </c>
      <c r="C259" t="str">
        <f>VLOOKUP(D259,Ngan_hang_cau_hoi!$B$2:$K$142,9,0)</f>
        <v>Trung bình</v>
      </c>
      <c r="D259">
        <f t="shared" ref="D259:D322" si="8">INT(A259/5)+1</f>
        <v>52</v>
      </c>
      <c r="F259" t="str">
        <f>IF(L259=2,COUNTIFS($L$1:L259,2,$B$1:B259,"Chương 3 &amp; 4"),"")</f>
        <v/>
      </c>
      <c r="G259" t="str">
        <f>VLOOKUP(D259,Ngan_hang_cau_hoi!$B$2:$K$142,L259,0)</f>
        <v>Rollback driver</v>
      </c>
      <c r="H259" t="str">
        <f>IFERROR(VLOOKUP(J259,Ngan_hang_cau_hoi!$I$2:$L$142,4,0),"")</f>
        <v>B</v>
      </c>
      <c r="J259" t="str">
        <f>IF(VLOOKUP(D259,Ngan_hang_cau_hoi!$B$2:$K$142,8,0)=G259,G259,"")</f>
        <v>Rollback driver</v>
      </c>
      <c r="L259">
        <f t="shared" ref="L259:L322" si="9">IF(L258=6,2,L258+1)</f>
        <v>4</v>
      </c>
    </row>
    <row r="260" spans="1:12" x14ac:dyDescent="0.25">
      <c r="A260">
        <v>258</v>
      </c>
      <c r="B260" t="str">
        <f>VLOOKUP(D260,Ngan_hang_cau_hoi!$B$2:$K$142,10,0)</f>
        <v>Chương 3 &amp; 4</v>
      </c>
      <c r="C260" t="str">
        <f>VLOOKUP(D260,Ngan_hang_cau_hoi!$B$2:$K$142,9,0)</f>
        <v>Trung bình</v>
      </c>
      <c r="D260">
        <f t="shared" si="8"/>
        <v>52</v>
      </c>
      <c r="F260" t="str">
        <f>IF(L260=2,COUNTIFS($L$1:L260,2,$B$1:B260,"Chương 3 &amp; 4"),"")</f>
        <v/>
      </c>
      <c r="G260" t="str">
        <f>VLOOKUP(D260,Ngan_hang_cau_hoi!$B$2:$K$142,L260,0)</f>
        <v>Format ổ cứng</v>
      </c>
      <c r="H260" t="str">
        <f>IFERROR(VLOOKUP(J260,Ngan_hang_cau_hoi!$I$2:$L$142,4,0),"")</f>
        <v/>
      </c>
      <c r="J260" t="str">
        <f>IF(VLOOKUP(D260,Ngan_hang_cau_hoi!$B$2:$K$142,8,0)=G260,G260,"")</f>
        <v/>
      </c>
      <c r="L260">
        <f t="shared" si="9"/>
        <v>5</v>
      </c>
    </row>
    <row r="261" spans="1:12" x14ac:dyDescent="0.25">
      <c r="A261">
        <v>259</v>
      </c>
      <c r="B261" t="str">
        <f>VLOOKUP(D261,Ngan_hang_cau_hoi!$B$2:$K$142,10,0)</f>
        <v>Chương 3 &amp; 4</v>
      </c>
      <c r="C261" t="str">
        <f>VLOOKUP(D261,Ngan_hang_cau_hoi!$B$2:$K$142,9,0)</f>
        <v>Trung bình</v>
      </c>
      <c r="D261">
        <f t="shared" si="8"/>
        <v>52</v>
      </c>
      <c r="F261" t="str">
        <f>IF(L261=2,COUNTIFS($L$1:L261,2,$B$1:B261,"Chương 3 &amp; 4"),"")</f>
        <v/>
      </c>
      <c r="G261" t="str">
        <f>VLOOKUP(D261,Ngan_hang_cau_hoi!$B$2:$K$142,L261,0)</f>
        <v>Cài Windows mới</v>
      </c>
      <c r="H261" t="str">
        <f>IFERROR(VLOOKUP(J261,Ngan_hang_cau_hoi!$I$2:$L$142,4,0),"")</f>
        <v/>
      </c>
      <c r="J261" t="str">
        <f>IF(VLOOKUP(D261,Ngan_hang_cau_hoi!$B$2:$K$142,8,0)=G261,G261,"")</f>
        <v/>
      </c>
      <c r="L261">
        <f t="shared" si="9"/>
        <v>6</v>
      </c>
    </row>
    <row r="262" spans="1:12" x14ac:dyDescent="0.25">
      <c r="A262">
        <v>260</v>
      </c>
      <c r="B262" t="str">
        <f>VLOOKUP(D262,Ngan_hang_cau_hoi!$B$2:$K$142,10,0)</f>
        <v>Chương 3 &amp; 4</v>
      </c>
      <c r="C262" t="str">
        <f>VLOOKUP(D262,Ngan_hang_cau_hoi!$B$2:$K$142,9,0)</f>
        <v>Trung bình</v>
      </c>
      <c r="D262">
        <f t="shared" si="8"/>
        <v>53</v>
      </c>
      <c r="F262">
        <f>IF(L262=2,COUNTIFS($L$1:L262,2,$B$1:B262,"Chương 3 &amp; 4"),"")</f>
        <v>6</v>
      </c>
      <c r="G262" t="str">
        <f>VLOOKUP(D262,Ngan_hang_cau_hoi!$B$2:$K$142,L262,0)</f>
        <v>Phân vùng hệ thống (System Partition) trong GPT thường có định dạng:</v>
      </c>
      <c r="H262" t="str">
        <f>IFERROR(VLOOKUP(J262,Ngan_hang_cau_hoi!$I$2:$L$142,4,0),"")</f>
        <v/>
      </c>
      <c r="J262" t="str">
        <f>IF(VLOOKUP(D262,Ngan_hang_cau_hoi!$B$2:$K$142,8,0)=G262,G262,"")</f>
        <v/>
      </c>
      <c r="L262">
        <f t="shared" si="9"/>
        <v>2</v>
      </c>
    </row>
    <row r="263" spans="1:12" x14ac:dyDescent="0.25">
      <c r="A263">
        <v>261</v>
      </c>
      <c r="B263" t="str">
        <f>VLOOKUP(D263,Ngan_hang_cau_hoi!$B$2:$K$142,10,0)</f>
        <v>Chương 3 &amp; 4</v>
      </c>
      <c r="C263" t="str">
        <f>VLOOKUP(D263,Ngan_hang_cau_hoi!$B$2:$K$142,9,0)</f>
        <v>Trung bình</v>
      </c>
      <c r="D263">
        <f t="shared" si="8"/>
        <v>53</v>
      </c>
      <c r="F263" t="str">
        <f>IF(L263=2,COUNTIFS($L$1:L263,2,$B$1:B263,"Chương 3 &amp; 4"),"")</f>
        <v/>
      </c>
      <c r="G263" t="str">
        <f>VLOOKUP(D263,Ngan_hang_cau_hoi!$B$2:$K$142,L263,0)</f>
        <v>FAT32</v>
      </c>
      <c r="H263" t="str">
        <f>IFERROR(VLOOKUP(J263,Ngan_hang_cau_hoi!$I$2:$L$142,4,0),"")</f>
        <v/>
      </c>
      <c r="J263" t="str">
        <f>IF(VLOOKUP(D263,Ngan_hang_cau_hoi!$B$2:$K$142,8,0)=G263,G263,"")</f>
        <v/>
      </c>
      <c r="L263">
        <f t="shared" si="9"/>
        <v>3</v>
      </c>
    </row>
    <row r="264" spans="1:12" x14ac:dyDescent="0.25">
      <c r="A264">
        <v>262</v>
      </c>
      <c r="B264" t="str">
        <f>VLOOKUP(D264,Ngan_hang_cau_hoi!$B$2:$K$142,10,0)</f>
        <v>Chương 3 &amp; 4</v>
      </c>
      <c r="C264" t="str">
        <f>VLOOKUP(D264,Ngan_hang_cau_hoi!$B$2:$K$142,9,0)</f>
        <v>Trung bình</v>
      </c>
      <c r="D264">
        <f t="shared" si="8"/>
        <v>53</v>
      </c>
      <c r="F264" t="str">
        <f>IF(L264=2,COUNTIFS($L$1:L264,2,$B$1:B264,"Chương 3 &amp; 4"),"")</f>
        <v/>
      </c>
      <c r="G264" t="str">
        <f>VLOOKUP(D264,Ngan_hang_cau_hoi!$B$2:$K$142,L264,0)</f>
        <v>exFAT</v>
      </c>
      <c r="H264" t="str">
        <f>IFERROR(VLOOKUP(J264,Ngan_hang_cau_hoi!$I$2:$L$142,4,0),"")</f>
        <v/>
      </c>
      <c r="J264" t="str">
        <f>IF(VLOOKUP(D264,Ngan_hang_cau_hoi!$B$2:$K$142,8,0)=G264,G264,"")</f>
        <v/>
      </c>
      <c r="L264">
        <f t="shared" si="9"/>
        <v>4</v>
      </c>
    </row>
    <row r="265" spans="1:12" x14ac:dyDescent="0.25">
      <c r="A265">
        <v>263</v>
      </c>
      <c r="B265" t="str">
        <f>VLOOKUP(D265,Ngan_hang_cau_hoi!$B$2:$K$142,10,0)</f>
        <v>Chương 3 &amp; 4</v>
      </c>
      <c r="C265" t="str">
        <f>VLOOKUP(D265,Ngan_hang_cau_hoi!$B$2:$K$142,9,0)</f>
        <v>Trung bình</v>
      </c>
      <c r="D265">
        <f t="shared" si="8"/>
        <v>53</v>
      </c>
      <c r="F265" t="str">
        <f>IF(L265=2,COUNTIFS($L$1:L265,2,$B$1:B265,"Chương 3 &amp; 4"),"")</f>
        <v/>
      </c>
      <c r="G265" t="str">
        <f>VLOOKUP(D265,Ngan_hang_cau_hoi!$B$2:$K$142,L265,0)</f>
        <v>NTFS</v>
      </c>
      <c r="H265" t="str">
        <f>IFERROR(VLOOKUP(J265,Ngan_hang_cau_hoi!$I$2:$L$142,4,0),"")</f>
        <v>C</v>
      </c>
      <c r="J265" t="str">
        <f>IF(VLOOKUP(D265,Ngan_hang_cau_hoi!$B$2:$K$142,8,0)=G265,G265,"")</f>
        <v>NTFS</v>
      </c>
      <c r="L265">
        <f t="shared" si="9"/>
        <v>5</v>
      </c>
    </row>
    <row r="266" spans="1:12" x14ac:dyDescent="0.25">
      <c r="A266">
        <v>264</v>
      </c>
      <c r="B266" t="str">
        <f>VLOOKUP(D266,Ngan_hang_cau_hoi!$B$2:$K$142,10,0)</f>
        <v>Chương 3 &amp; 4</v>
      </c>
      <c r="C266" t="str">
        <f>VLOOKUP(D266,Ngan_hang_cau_hoi!$B$2:$K$142,9,0)</f>
        <v>Trung bình</v>
      </c>
      <c r="D266">
        <f t="shared" si="8"/>
        <v>53</v>
      </c>
      <c r="F266" t="str">
        <f>IF(L266=2,COUNTIFS($L$1:L266,2,$B$1:B266,"Chương 3 &amp; 4"),"")</f>
        <v/>
      </c>
      <c r="G266" t="str">
        <f>VLOOKUP(D266,Ngan_hang_cau_hoi!$B$2:$K$142,L266,0)</f>
        <v>RAW</v>
      </c>
      <c r="H266" t="str">
        <f>IFERROR(VLOOKUP(J266,Ngan_hang_cau_hoi!$I$2:$L$142,4,0),"")</f>
        <v/>
      </c>
      <c r="J266" t="str">
        <f>IF(VLOOKUP(D266,Ngan_hang_cau_hoi!$B$2:$K$142,8,0)=G266,G266,"")</f>
        <v/>
      </c>
      <c r="L266">
        <f t="shared" si="9"/>
        <v>6</v>
      </c>
    </row>
    <row r="267" spans="1:12" x14ac:dyDescent="0.25">
      <c r="A267">
        <v>265</v>
      </c>
      <c r="B267" t="str">
        <f>VLOOKUP(D267,Ngan_hang_cau_hoi!$B$2:$K$142,10,0)</f>
        <v>Chương 3 &amp; 4</v>
      </c>
      <c r="C267" t="str">
        <f>VLOOKUP(D267,Ngan_hang_cau_hoi!$B$2:$K$142,9,0)</f>
        <v>Trung bình</v>
      </c>
      <c r="D267">
        <f t="shared" si="8"/>
        <v>54</v>
      </c>
      <c r="F267">
        <f>IF(L267=2,COUNTIFS($L$1:L267,2,$B$1:B267,"Chương 3 &amp; 4"),"")</f>
        <v>7</v>
      </c>
      <c r="G267" t="str">
        <f>VLOOKUP(D267,Ngan_hang_cau_hoi!$B$2:$K$142,L267,0)</f>
        <v>Phần mềm nào thường dùng để backup hệ điều hành Windows?</v>
      </c>
      <c r="H267" t="str">
        <f>IFERROR(VLOOKUP(J267,Ngan_hang_cau_hoi!$I$2:$L$142,4,0),"")</f>
        <v/>
      </c>
      <c r="J267" t="str">
        <f>IF(VLOOKUP(D267,Ngan_hang_cau_hoi!$B$2:$K$142,8,0)=G267,G267,"")</f>
        <v/>
      </c>
      <c r="L267">
        <f t="shared" si="9"/>
        <v>2</v>
      </c>
    </row>
    <row r="268" spans="1:12" x14ac:dyDescent="0.25">
      <c r="A268">
        <v>266</v>
      </c>
      <c r="B268" t="str">
        <f>VLOOKUP(D268,Ngan_hang_cau_hoi!$B$2:$K$142,10,0)</f>
        <v>Chương 3 &amp; 4</v>
      </c>
      <c r="C268" t="str">
        <f>VLOOKUP(D268,Ngan_hang_cau_hoi!$B$2:$K$142,9,0)</f>
        <v>Trung bình</v>
      </c>
      <c r="D268">
        <f t="shared" si="8"/>
        <v>54</v>
      </c>
      <c r="F268" t="str">
        <f>IF(L268=2,COUNTIFS($L$1:L268,2,$B$1:B268,"Chương 3 &amp; 4"),"")</f>
        <v/>
      </c>
      <c r="G268" t="str">
        <f>VLOOKUP(D268,Ngan_hang_cau_hoi!$B$2:$K$142,L268,0)</f>
        <v>Disk Cleanup</v>
      </c>
      <c r="H268" t="str">
        <f>IFERROR(VLOOKUP(J268,Ngan_hang_cau_hoi!$I$2:$L$142,4,0),"")</f>
        <v/>
      </c>
      <c r="J268" t="str">
        <f>IF(VLOOKUP(D268,Ngan_hang_cau_hoi!$B$2:$K$142,8,0)=G268,G268,"")</f>
        <v/>
      </c>
      <c r="L268">
        <f t="shared" si="9"/>
        <v>3</v>
      </c>
    </row>
    <row r="269" spans="1:12" x14ac:dyDescent="0.25">
      <c r="A269">
        <v>267</v>
      </c>
      <c r="B269" t="str">
        <f>VLOOKUP(D269,Ngan_hang_cau_hoi!$B$2:$K$142,10,0)</f>
        <v>Chương 3 &amp; 4</v>
      </c>
      <c r="C269" t="str">
        <f>VLOOKUP(D269,Ngan_hang_cau_hoi!$B$2:$K$142,9,0)</f>
        <v>Trung bình</v>
      </c>
      <c r="D269">
        <f t="shared" si="8"/>
        <v>54</v>
      </c>
      <c r="F269" t="str">
        <f>IF(L269=2,COUNTIFS($L$1:L269,2,$B$1:B269,"Chương 3 &amp; 4"),"")</f>
        <v/>
      </c>
      <c r="G269" t="str">
        <f>VLOOKUP(D269,Ngan_hang_cau_hoi!$B$2:$K$142,L269,0)</f>
        <v>Acronis True Image</v>
      </c>
      <c r="H269" t="str">
        <f>IFERROR(VLOOKUP(J269,Ngan_hang_cau_hoi!$I$2:$L$142,4,0),"")</f>
        <v>B</v>
      </c>
      <c r="J269" t="str">
        <f>IF(VLOOKUP(D269,Ngan_hang_cau_hoi!$B$2:$K$142,8,0)=G269,G269,"")</f>
        <v>Acronis True Image</v>
      </c>
      <c r="L269">
        <f t="shared" si="9"/>
        <v>4</v>
      </c>
    </row>
    <row r="270" spans="1:12" x14ac:dyDescent="0.25">
      <c r="A270">
        <v>268</v>
      </c>
      <c r="B270" t="str">
        <f>VLOOKUP(D270,Ngan_hang_cau_hoi!$B$2:$K$142,10,0)</f>
        <v>Chương 3 &amp; 4</v>
      </c>
      <c r="C270" t="str">
        <f>VLOOKUP(D270,Ngan_hang_cau_hoi!$B$2:$K$142,9,0)</f>
        <v>Trung bình</v>
      </c>
      <c r="D270">
        <f t="shared" si="8"/>
        <v>54</v>
      </c>
      <c r="F270" t="str">
        <f>IF(L270=2,COUNTIFS($L$1:L270,2,$B$1:B270,"Chương 3 &amp; 4"),"")</f>
        <v/>
      </c>
      <c r="G270" t="str">
        <f>VLOOKUP(D270,Ngan_hang_cau_hoi!$B$2:$K$142,L270,0)</f>
        <v>Device Manager</v>
      </c>
      <c r="H270" t="str">
        <f>IFERROR(VLOOKUP(J270,Ngan_hang_cau_hoi!$I$2:$L$142,4,0),"")</f>
        <v/>
      </c>
      <c r="J270" t="str">
        <f>IF(VLOOKUP(D270,Ngan_hang_cau_hoi!$B$2:$K$142,8,0)=G270,G270,"")</f>
        <v/>
      </c>
      <c r="L270">
        <f t="shared" si="9"/>
        <v>5</v>
      </c>
    </row>
    <row r="271" spans="1:12" x14ac:dyDescent="0.25">
      <c r="A271">
        <v>269</v>
      </c>
      <c r="B271" t="str">
        <f>VLOOKUP(D271,Ngan_hang_cau_hoi!$B$2:$K$142,10,0)</f>
        <v>Chương 3 &amp; 4</v>
      </c>
      <c r="C271" t="str">
        <f>VLOOKUP(D271,Ngan_hang_cau_hoi!$B$2:$K$142,9,0)</f>
        <v>Trung bình</v>
      </c>
      <c r="D271">
        <f t="shared" si="8"/>
        <v>54</v>
      </c>
      <c r="F271" t="str">
        <f>IF(L271=2,COUNTIFS($L$1:L271,2,$B$1:B271,"Chương 3 &amp; 4"),"")</f>
        <v/>
      </c>
      <c r="G271" t="str">
        <f>VLOOKUP(D271,Ngan_hang_cau_hoi!$B$2:$K$142,L271,0)</f>
        <v>Task Manager</v>
      </c>
      <c r="H271" t="str">
        <f>IFERROR(VLOOKUP(J271,Ngan_hang_cau_hoi!$I$2:$L$142,4,0),"")</f>
        <v/>
      </c>
      <c r="J271" t="str">
        <f>IF(VLOOKUP(D271,Ngan_hang_cau_hoi!$B$2:$K$142,8,0)=G271,G271,"")</f>
        <v/>
      </c>
      <c r="L271">
        <f t="shared" si="9"/>
        <v>6</v>
      </c>
    </row>
    <row r="272" spans="1:12" x14ac:dyDescent="0.25">
      <c r="A272">
        <v>270</v>
      </c>
      <c r="B272" t="str">
        <f>VLOOKUP(D272,Ngan_hang_cau_hoi!$B$2:$K$142,10,0)</f>
        <v>Chương 3 &amp; 4</v>
      </c>
      <c r="C272" t="str">
        <f>VLOOKUP(D272,Ngan_hang_cau_hoi!$B$2:$K$142,9,0)</f>
        <v>Trung bình</v>
      </c>
      <c r="D272">
        <f t="shared" si="8"/>
        <v>55</v>
      </c>
      <c r="F272">
        <f>IF(L272=2,COUNTIFS($L$1:L272,2,$B$1:B272,"Chương 3 &amp; 4"),"")</f>
        <v>8</v>
      </c>
      <c r="G272" t="str">
        <f>VLOOKUP(D272,Ngan_hang_cau_hoi!$B$2:$K$142,L272,0)</f>
        <v>Phần mềm dùng để tạo file .TIB là:</v>
      </c>
      <c r="H272" t="str">
        <f>IFERROR(VLOOKUP(J272,Ngan_hang_cau_hoi!$I$2:$L$142,4,0),"")</f>
        <v/>
      </c>
      <c r="J272" t="str">
        <f>IF(VLOOKUP(D272,Ngan_hang_cau_hoi!$B$2:$K$142,8,0)=G272,G272,"")</f>
        <v/>
      </c>
      <c r="L272">
        <f t="shared" si="9"/>
        <v>2</v>
      </c>
    </row>
    <row r="273" spans="1:12" x14ac:dyDescent="0.25">
      <c r="A273">
        <v>271</v>
      </c>
      <c r="B273" t="str">
        <f>VLOOKUP(D273,Ngan_hang_cau_hoi!$B$2:$K$142,10,0)</f>
        <v>Chương 3 &amp; 4</v>
      </c>
      <c r="C273" t="str">
        <f>VLOOKUP(D273,Ngan_hang_cau_hoi!$B$2:$K$142,9,0)</f>
        <v>Trung bình</v>
      </c>
      <c r="D273">
        <f t="shared" si="8"/>
        <v>55</v>
      </c>
      <c r="F273" t="str">
        <f>IF(L273=2,COUNTIFS($L$1:L273,2,$B$1:B273,"Chương 3 &amp; 4"),"")</f>
        <v/>
      </c>
      <c r="G273" t="str">
        <f>VLOOKUP(D273,Ngan_hang_cau_hoi!$B$2:$K$142,L273,0)</f>
        <v>Norton Ghost</v>
      </c>
      <c r="H273" t="str">
        <f>IFERROR(VLOOKUP(J273,Ngan_hang_cau_hoi!$I$2:$L$142,4,0),"")</f>
        <v/>
      </c>
      <c r="J273" t="str">
        <f>IF(VLOOKUP(D273,Ngan_hang_cau_hoi!$B$2:$K$142,8,0)=G273,G273,"")</f>
        <v/>
      </c>
      <c r="L273">
        <f t="shared" si="9"/>
        <v>3</v>
      </c>
    </row>
    <row r="274" spans="1:12" x14ac:dyDescent="0.25">
      <c r="A274">
        <v>272</v>
      </c>
      <c r="B274" t="str">
        <f>VLOOKUP(D274,Ngan_hang_cau_hoi!$B$2:$K$142,10,0)</f>
        <v>Chương 3 &amp; 4</v>
      </c>
      <c r="C274" t="str">
        <f>VLOOKUP(D274,Ngan_hang_cau_hoi!$B$2:$K$142,9,0)</f>
        <v>Trung bình</v>
      </c>
      <c r="D274">
        <f t="shared" si="8"/>
        <v>55</v>
      </c>
      <c r="F274" t="str">
        <f>IF(L274=2,COUNTIFS($L$1:L274,2,$B$1:B274,"Chương 3 &amp; 4"),"")</f>
        <v/>
      </c>
      <c r="G274" t="str">
        <f>VLOOKUP(D274,Ngan_hang_cau_hoi!$B$2:$K$142,L274,0)</f>
        <v>Rufus</v>
      </c>
      <c r="H274" t="str">
        <f>IFERROR(VLOOKUP(J274,Ngan_hang_cau_hoi!$I$2:$L$142,4,0),"")</f>
        <v/>
      </c>
      <c r="J274" t="str">
        <f>IF(VLOOKUP(D274,Ngan_hang_cau_hoi!$B$2:$K$142,8,0)=G274,G274,"")</f>
        <v/>
      </c>
      <c r="L274">
        <f t="shared" si="9"/>
        <v>4</v>
      </c>
    </row>
    <row r="275" spans="1:12" x14ac:dyDescent="0.25">
      <c r="A275">
        <v>273</v>
      </c>
      <c r="B275" t="str">
        <f>VLOOKUP(D275,Ngan_hang_cau_hoi!$B$2:$K$142,10,0)</f>
        <v>Chương 3 &amp; 4</v>
      </c>
      <c r="C275" t="str">
        <f>VLOOKUP(D275,Ngan_hang_cau_hoi!$B$2:$K$142,9,0)</f>
        <v>Trung bình</v>
      </c>
      <c r="D275">
        <f t="shared" si="8"/>
        <v>55</v>
      </c>
      <c r="F275" t="str">
        <f>IF(L275=2,COUNTIFS($L$1:L275,2,$B$1:B275,"Chương 3 &amp; 4"),"")</f>
        <v/>
      </c>
      <c r="G275" t="str">
        <f>VLOOKUP(D275,Ngan_hang_cau_hoi!$B$2:$K$142,L275,0)</f>
        <v>Acronis True Image</v>
      </c>
      <c r="H275" t="str">
        <f>IFERROR(VLOOKUP(J275,Ngan_hang_cau_hoi!$I$2:$L$142,4,0),"")</f>
        <v>B</v>
      </c>
      <c r="J275" t="str">
        <f>IF(VLOOKUP(D275,Ngan_hang_cau_hoi!$B$2:$K$142,8,0)=G275,G275,"")</f>
        <v>Acronis True Image</v>
      </c>
      <c r="L275">
        <f t="shared" si="9"/>
        <v>5</v>
      </c>
    </row>
    <row r="276" spans="1:12" x14ac:dyDescent="0.25">
      <c r="A276">
        <v>274</v>
      </c>
      <c r="B276" t="str">
        <f>VLOOKUP(D276,Ngan_hang_cau_hoi!$B$2:$K$142,10,0)</f>
        <v>Chương 3 &amp; 4</v>
      </c>
      <c r="C276" t="str">
        <f>VLOOKUP(D276,Ngan_hang_cau_hoi!$B$2:$K$142,9,0)</f>
        <v>Trung bình</v>
      </c>
      <c r="D276">
        <f t="shared" si="8"/>
        <v>55</v>
      </c>
      <c r="F276" t="str">
        <f>IF(L276=2,COUNTIFS($L$1:L276,2,$B$1:B276,"Chương 3 &amp; 4"),"")</f>
        <v/>
      </c>
      <c r="G276" t="str">
        <f>VLOOKUP(D276,Ngan_hang_cau_hoi!$B$2:$K$142,L276,0)</f>
        <v>WinRAR</v>
      </c>
      <c r="H276" t="str">
        <f>IFERROR(VLOOKUP(J276,Ngan_hang_cau_hoi!$I$2:$L$142,4,0),"")</f>
        <v/>
      </c>
      <c r="J276" t="str">
        <f>IF(VLOOKUP(D276,Ngan_hang_cau_hoi!$B$2:$K$142,8,0)=G276,G276,"")</f>
        <v/>
      </c>
      <c r="L276">
        <f t="shared" si="9"/>
        <v>6</v>
      </c>
    </row>
    <row r="277" spans="1:12" x14ac:dyDescent="0.25">
      <c r="A277">
        <v>275</v>
      </c>
      <c r="B277" t="str">
        <f>VLOOKUP(D277,Ngan_hang_cau_hoi!$B$2:$K$142,10,0)</f>
        <v>Chương 3 &amp; 4</v>
      </c>
      <c r="C277" t="str">
        <f>VLOOKUP(D277,Ngan_hang_cau_hoi!$B$2:$K$142,9,0)</f>
        <v>Trung bình</v>
      </c>
      <c r="D277">
        <f t="shared" si="8"/>
        <v>56</v>
      </c>
      <c r="F277">
        <f>IF(L277=2,COUNTIFS($L$1:L277,2,$B$1:B277,"Chương 3 &amp; 4"),"")</f>
        <v>9</v>
      </c>
      <c r="G277" t="str">
        <f>VLOOKUP(D277,Ngan_hang_cau_hoi!$B$2:$K$142,L277,0)</f>
        <v>Nếu pin CMOS hết, máy sẽ gặp hiện tượng:</v>
      </c>
      <c r="H277" t="str">
        <f>IFERROR(VLOOKUP(J277,Ngan_hang_cau_hoi!$I$2:$L$142,4,0),"")</f>
        <v/>
      </c>
      <c r="J277" t="str">
        <f>IF(VLOOKUP(D277,Ngan_hang_cau_hoi!$B$2:$K$142,8,0)=G277,G277,"")</f>
        <v/>
      </c>
      <c r="L277">
        <f t="shared" si="9"/>
        <v>2</v>
      </c>
    </row>
    <row r="278" spans="1:12" x14ac:dyDescent="0.25">
      <c r="A278">
        <v>276</v>
      </c>
      <c r="B278" t="str">
        <f>VLOOKUP(D278,Ngan_hang_cau_hoi!$B$2:$K$142,10,0)</f>
        <v>Chương 3 &amp; 4</v>
      </c>
      <c r="C278" t="str">
        <f>VLOOKUP(D278,Ngan_hang_cau_hoi!$B$2:$K$142,9,0)</f>
        <v>Trung bình</v>
      </c>
      <c r="D278">
        <f t="shared" si="8"/>
        <v>56</v>
      </c>
      <c r="F278" t="str">
        <f>IF(L278=2,COUNTIFS($L$1:L278,2,$B$1:B278,"Chương 3 &amp; 4"),"")</f>
        <v/>
      </c>
      <c r="G278" t="str">
        <f>VLOOKUP(D278,Ngan_hang_cau_hoi!$B$2:$K$142,L278,0)</f>
        <v>Không nhận VGA</v>
      </c>
      <c r="H278" t="str">
        <f>IFERROR(VLOOKUP(J278,Ngan_hang_cau_hoi!$I$2:$L$142,4,0),"")</f>
        <v/>
      </c>
      <c r="J278" t="str">
        <f>IF(VLOOKUP(D278,Ngan_hang_cau_hoi!$B$2:$K$142,8,0)=G278,G278,"")</f>
        <v/>
      </c>
      <c r="L278">
        <f t="shared" si="9"/>
        <v>3</v>
      </c>
    </row>
    <row r="279" spans="1:12" x14ac:dyDescent="0.25">
      <c r="A279">
        <v>277</v>
      </c>
      <c r="B279" t="str">
        <f>VLOOKUP(D279,Ngan_hang_cau_hoi!$B$2:$K$142,10,0)</f>
        <v>Chương 3 &amp; 4</v>
      </c>
      <c r="C279" t="str">
        <f>VLOOKUP(D279,Ngan_hang_cau_hoi!$B$2:$K$142,9,0)</f>
        <v>Trung bình</v>
      </c>
      <c r="D279">
        <f t="shared" si="8"/>
        <v>56</v>
      </c>
      <c r="F279" t="str">
        <f>IF(L279=2,COUNTIFS($L$1:L279,2,$B$1:B279,"Chương 3 &amp; 4"),"")</f>
        <v/>
      </c>
      <c r="G279" t="str">
        <f>VLOOKUP(D279,Ngan_hang_cau_hoi!$B$2:$K$142,L279,0)</f>
        <v>Mất dữ liệu ổ cứng</v>
      </c>
      <c r="H279" t="str">
        <f>IFERROR(VLOOKUP(J279,Ngan_hang_cau_hoi!$I$2:$L$142,4,0),"")</f>
        <v/>
      </c>
      <c r="J279" t="str">
        <f>IF(VLOOKUP(D279,Ngan_hang_cau_hoi!$B$2:$K$142,8,0)=G279,G279,"")</f>
        <v/>
      </c>
      <c r="L279">
        <f t="shared" si="9"/>
        <v>4</v>
      </c>
    </row>
    <row r="280" spans="1:12" x14ac:dyDescent="0.25">
      <c r="A280">
        <v>278</v>
      </c>
      <c r="B280" t="str">
        <f>VLOOKUP(D280,Ngan_hang_cau_hoi!$B$2:$K$142,10,0)</f>
        <v>Chương 3 &amp; 4</v>
      </c>
      <c r="C280" t="str">
        <f>VLOOKUP(D280,Ngan_hang_cau_hoi!$B$2:$K$142,9,0)</f>
        <v>Trung bình</v>
      </c>
      <c r="D280">
        <f t="shared" si="8"/>
        <v>56</v>
      </c>
      <c r="F280" t="str">
        <f>IF(L280=2,COUNTIFS($L$1:L280,2,$B$1:B280,"Chương 3 &amp; 4"),"")</f>
        <v/>
      </c>
      <c r="G280" t="str">
        <f>VLOOKUP(D280,Ngan_hang_cau_hoi!$B$2:$K$142,L280,0)</f>
        <v>Không nhận RAM</v>
      </c>
      <c r="H280" t="str">
        <f>IFERROR(VLOOKUP(J280,Ngan_hang_cau_hoi!$I$2:$L$142,4,0),"")</f>
        <v/>
      </c>
      <c r="J280" t="str">
        <f>IF(VLOOKUP(D280,Ngan_hang_cau_hoi!$B$2:$K$142,8,0)=G280,G280,"")</f>
        <v/>
      </c>
      <c r="L280">
        <f t="shared" si="9"/>
        <v>5</v>
      </c>
    </row>
    <row r="281" spans="1:12" x14ac:dyDescent="0.25">
      <c r="A281">
        <v>279</v>
      </c>
      <c r="B281" t="str">
        <f>VLOOKUP(D281,Ngan_hang_cau_hoi!$B$2:$K$142,10,0)</f>
        <v>Chương 3 &amp; 4</v>
      </c>
      <c r="C281" t="str">
        <f>VLOOKUP(D281,Ngan_hang_cau_hoi!$B$2:$K$142,9,0)</f>
        <v>Trung bình</v>
      </c>
      <c r="D281">
        <f t="shared" si="8"/>
        <v>56</v>
      </c>
      <c r="F281" t="str">
        <f>IF(L281=2,COUNTIFS($L$1:L281,2,$B$1:B281,"Chương 3 &amp; 4"),"")</f>
        <v/>
      </c>
      <c r="G281" t="str">
        <f>VLOOKUP(D281,Ngan_hang_cau_hoi!$B$2:$K$142,L281,0)</f>
        <v>Mất thời gian hệ thống</v>
      </c>
      <c r="H281" t="str">
        <f>IFERROR(VLOOKUP(J281,Ngan_hang_cau_hoi!$I$2:$L$142,4,0),"")</f>
        <v>D</v>
      </c>
      <c r="J281" t="str">
        <f>IF(VLOOKUP(D281,Ngan_hang_cau_hoi!$B$2:$K$142,8,0)=G281,G281,"")</f>
        <v>Mất thời gian hệ thống</v>
      </c>
      <c r="L281">
        <f t="shared" si="9"/>
        <v>6</v>
      </c>
    </row>
    <row r="282" spans="1:12" x14ac:dyDescent="0.25">
      <c r="A282">
        <v>280</v>
      </c>
      <c r="B282" t="str">
        <f>VLOOKUP(D282,Ngan_hang_cau_hoi!$B$2:$K$142,10,0)</f>
        <v>Chương 3 &amp; 4</v>
      </c>
      <c r="C282" t="str">
        <f>VLOOKUP(D282,Ngan_hang_cau_hoi!$B$2:$K$142,9,0)</f>
        <v>Trung bình</v>
      </c>
      <c r="D282">
        <f t="shared" si="8"/>
        <v>57</v>
      </c>
      <c r="F282">
        <f>IF(L282=2,COUNTIFS($L$1:L282,2,$B$1:B282,"Chương 3 &amp; 4"),"")</f>
        <v>10</v>
      </c>
      <c r="G282" t="str">
        <f>VLOOKUP(D282,Ngan_hang_cau_hoi!$B$2:$K$142,L282,0)</f>
        <v>Nếu ổ cứng đang ở chuẩn MBR, muốn chuyển sang UEFI cần:</v>
      </c>
      <c r="H282" t="str">
        <f>IFERROR(VLOOKUP(J282,Ngan_hang_cau_hoi!$I$2:$L$142,4,0),"")</f>
        <v/>
      </c>
      <c r="J282" t="str">
        <f>IF(VLOOKUP(D282,Ngan_hang_cau_hoi!$B$2:$K$142,8,0)=G282,G282,"")</f>
        <v/>
      </c>
      <c r="L282">
        <f t="shared" si="9"/>
        <v>2</v>
      </c>
    </row>
    <row r="283" spans="1:12" x14ac:dyDescent="0.25">
      <c r="A283">
        <v>281</v>
      </c>
      <c r="B283" t="str">
        <f>VLOOKUP(D283,Ngan_hang_cau_hoi!$B$2:$K$142,10,0)</f>
        <v>Chương 3 &amp; 4</v>
      </c>
      <c r="C283" t="str">
        <f>VLOOKUP(D283,Ngan_hang_cau_hoi!$B$2:$K$142,9,0)</f>
        <v>Trung bình</v>
      </c>
      <c r="D283">
        <f t="shared" si="8"/>
        <v>57</v>
      </c>
      <c r="F283" t="str">
        <f>IF(L283=2,COUNTIFS($L$1:L283,2,$B$1:B283,"Chương 3 &amp; 4"),"")</f>
        <v/>
      </c>
      <c r="G283" t="str">
        <f>VLOOKUP(D283,Ngan_hang_cau_hoi!$B$2:$K$142,L283,0)</f>
        <v>Chuyển sang GPT</v>
      </c>
      <c r="H283" t="str">
        <f>IFERROR(VLOOKUP(J283,Ngan_hang_cau_hoi!$I$2:$L$142,4,0),"")</f>
        <v>A</v>
      </c>
      <c r="J283" t="str">
        <f>IF(VLOOKUP(D283,Ngan_hang_cau_hoi!$B$2:$K$142,8,0)=G283,G283,"")</f>
        <v>Chuyển sang GPT</v>
      </c>
      <c r="L283">
        <f t="shared" si="9"/>
        <v>3</v>
      </c>
    </row>
    <row r="284" spans="1:12" x14ac:dyDescent="0.25">
      <c r="A284">
        <v>282</v>
      </c>
      <c r="B284" t="str">
        <f>VLOOKUP(D284,Ngan_hang_cau_hoi!$B$2:$K$142,10,0)</f>
        <v>Chương 3 &amp; 4</v>
      </c>
      <c r="C284" t="str">
        <f>VLOOKUP(D284,Ngan_hang_cau_hoi!$B$2:$K$142,9,0)</f>
        <v>Trung bình</v>
      </c>
      <c r="D284">
        <f t="shared" si="8"/>
        <v>57</v>
      </c>
      <c r="F284" t="str">
        <f>IF(L284=2,COUNTIFS($L$1:L284,2,$B$1:B284,"Chương 3 &amp; 4"),"")</f>
        <v/>
      </c>
      <c r="G284" t="str">
        <f>VLOOKUP(D284,Ngan_hang_cau_hoi!$B$2:$K$142,L284,0)</f>
        <v>Format ổ cứng</v>
      </c>
      <c r="H284" t="str">
        <f>IFERROR(VLOOKUP(J284,Ngan_hang_cau_hoi!$I$2:$L$142,4,0),"")</f>
        <v/>
      </c>
      <c r="J284" t="str">
        <f>IF(VLOOKUP(D284,Ngan_hang_cau_hoi!$B$2:$K$142,8,0)=G284,G284,"")</f>
        <v/>
      </c>
      <c r="L284">
        <f t="shared" si="9"/>
        <v>4</v>
      </c>
    </row>
    <row r="285" spans="1:12" x14ac:dyDescent="0.25">
      <c r="A285">
        <v>283</v>
      </c>
      <c r="B285" t="str">
        <f>VLOOKUP(D285,Ngan_hang_cau_hoi!$B$2:$K$142,10,0)</f>
        <v>Chương 3 &amp; 4</v>
      </c>
      <c r="C285" t="str">
        <f>VLOOKUP(D285,Ngan_hang_cau_hoi!$B$2:$K$142,9,0)</f>
        <v>Trung bình</v>
      </c>
      <c r="D285">
        <f t="shared" si="8"/>
        <v>57</v>
      </c>
      <c r="F285" t="str">
        <f>IF(L285=2,COUNTIFS($L$1:L285,2,$B$1:B285,"Chương 3 &amp; 4"),"")</f>
        <v/>
      </c>
      <c r="G285" t="str">
        <f>VLOOKUP(D285,Ngan_hang_cau_hoi!$B$2:$K$142,L285,0)</f>
        <v>Cài lại BIOS</v>
      </c>
      <c r="H285" t="str">
        <f>IFERROR(VLOOKUP(J285,Ngan_hang_cau_hoi!$I$2:$L$142,4,0),"")</f>
        <v/>
      </c>
      <c r="J285" t="str">
        <f>IF(VLOOKUP(D285,Ngan_hang_cau_hoi!$B$2:$K$142,8,0)=G285,G285,"")</f>
        <v/>
      </c>
      <c r="L285">
        <f t="shared" si="9"/>
        <v>5</v>
      </c>
    </row>
    <row r="286" spans="1:12" x14ac:dyDescent="0.25">
      <c r="A286">
        <v>284</v>
      </c>
      <c r="B286" t="str">
        <f>VLOOKUP(D286,Ngan_hang_cau_hoi!$B$2:$K$142,10,0)</f>
        <v>Chương 3 &amp; 4</v>
      </c>
      <c r="C286" t="str">
        <f>VLOOKUP(D286,Ngan_hang_cau_hoi!$B$2:$K$142,9,0)</f>
        <v>Trung bình</v>
      </c>
      <c r="D286">
        <f t="shared" si="8"/>
        <v>57</v>
      </c>
      <c r="F286" t="str">
        <f>IF(L286=2,COUNTIFS($L$1:L286,2,$B$1:B286,"Chương 3 &amp; 4"),"")</f>
        <v/>
      </c>
      <c r="G286" t="str">
        <f>VLOOKUP(D286,Ngan_hang_cau_hoi!$B$2:$K$142,L286,0)</f>
        <v>Nâng cấp RAM</v>
      </c>
      <c r="H286" t="str">
        <f>IFERROR(VLOOKUP(J286,Ngan_hang_cau_hoi!$I$2:$L$142,4,0),"")</f>
        <v/>
      </c>
      <c r="J286" t="str">
        <f>IF(VLOOKUP(D286,Ngan_hang_cau_hoi!$B$2:$K$142,8,0)=G286,G286,"")</f>
        <v/>
      </c>
      <c r="L286">
        <f t="shared" si="9"/>
        <v>6</v>
      </c>
    </row>
    <row r="287" spans="1:12" x14ac:dyDescent="0.25">
      <c r="A287">
        <v>285</v>
      </c>
      <c r="B287" t="str">
        <f>VLOOKUP(D287,Ngan_hang_cau_hoi!$B$2:$K$142,10,0)</f>
        <v>Chương 3 &amp; 4</v>
      </c>
      <c r="C287" t="str">
        <f>VLOOKUP(D287,Ngan_hang_cau_hoi!$B$2:$K$142,9,0)</f>
        <v>Trung bình</v>
      </c>
      <c r="D287">
        <f t="shared" si="8"/>
        <v>58</v>
      </c>
      <c r="F287">
        <f>IF(L287=2,COUNTIFS($L$1:L287,2,$B$1:B287,"Chương 3 &amp; 4"),"")</f>
        <v>11</v>
      </c>
      <c r="G287" t="str">
        <f>VLOOKUP(D287,Ngan_hang_cau_hoi!$B$2:$K$142,L287,0)</f>
        <v>Nếu hệ điều hành Windows lỗi, phương pháp phục hồi nhanh nhất là:</v>
      </c>
      <c r="H287" t="str">
        <f>IFERROR(VLOOKUP(J287,Ngan_hang_cau_hoi!$I$2:$L$142,4,0),"")</f>
        <v/>
      </c>
      <c r="J287" t="str">
        <f>IF(VLOOKUP(D287,Ngan_hang_cau_hoi!$B$2:$K$142,8,0)=G287,G287,"")</f>
        <v/>
      </c>
      <c r="L287">
        <f t="shared" si="9"/>
        <v>2</v>
      </c>
    </row>
    <row r="288" spans="1:12" x14ac:dyDescent="0.25">
      <c r="A288">
        <v>286</v>
      </c>
      <c r="B288" t="str">
        <f>VLOOKUP(D288,Ngan_hang_cau_hoi!$B$2:$K$142,10,0)</f>
        <v>Chương 3 &amp; 4</v>
      </c>
      <c r="C288" t="str">
        <f>VLOOKUP(D288,Ngan_hang_cau_hoi!$B$2:$K$142,9,0)</f>
        <v>Trung bình</v>
      </c>
      <c r="D288">
        <f t="shared" si="8"/>
        <v>58</v>
      </c>
      <c r="F288" t="str">
        <f>IF(L288=2,COUNTIFS($L$1:L288,2,$B$1:B288,"Chương 3 &amp; 4"),"")</f>
        <v/>
      </c>
      <c r="G288" t="str">
        <f>VLOOKUP(D288,Ngan_hang_cau_hoi!$B$2:$K$142,L288,0)</f>
        <v>Restore từng file</v>
      </c>
      <c r="H288" t="str">
        <f>IFERROR(VLOOKUP(J288,Ngan_hang_cau_hoi!$I$2:$L$142,4,0),"")</f>
        <v/>
      </c>
      <c r="J288" t="str">
        <f>IF(VLOOKUP(D288,Ngan_hang_cau_hoi!$B$2:$K$142,8,0)=G288,G288,"")</f>
        <v/>
      </c>
      <c r="L288">
        <f t="shared" si="9"/>
        <v>3</v>
      </c>
    </row>
    <row r="289" spans="1:12" x14ac:dyDescent="0.25">
      <c r="A289">
        <v>287</v>
      </c>
      <c r="B289" t="str">
        <f>VLOOKUP(D289,Ngan_hang_cau_hoi!$B$2:$K$142,10,0)</f>
        <v>Chương 3 &amp; 4</v>
      </c>
      <c r="C289" t="str">
        <f>VLOOKUP(D289,Ngan_hang_cau_hoi!$B$2:$K$142,9,0)</f>
        <v>Trung bình</v>
      </c>
      <c r="D289">
        <f t="shared" si="8"/>
        <v>58</v>
      </c>
      <c r="F289" t="str">
        <f>IF(L289=2,COUNTIFS($L$1:L289,2,$B$1:B289,"Chương 3 &amp; 4"),"")</f>
        <v/>
      </c>
      <c r="G289" t="str">
        <f>VLOOKUP(D289,Ngan_hang_cau_hoi!$B$2:$K$142,L289,0)</f>
        <v>Restore System Image</v>
      </c>
      <c r="H289" t="str">
        <f>IFERROR(VLOOKUP(J289,Ngan_hang_cau_hoi!$I$2:$L$142,4,0),"")</f>
        <v>B</v>
      </c>
      <c r="J289" t="str">
        <f>IF(VLOOKUP(D289,Ngan_hang_cau_hoi!$B$2:$K$142,8,0)=G289,G289,"")</f>
        <v>Restore System Image</v>
      </c>
      <c r="L289">
        <f t="shared" si="9"/>
        <v>4</v>
      </c>
    </row>
    <row r="290" spans="1:12" x14ac:dyDescent="0.25">
      <c r="A290">
        <v>288</v>
      </c>
      <c r="B290" t="str">
        <f>VLOOKUP(D290,Ngan_hang_cau_hoi!$B$2:$K$142,10,0)</f>
        <v>Chương 3 &amp; 4</v>
      </c>
      <c r="C290" t="str">
        <f>VLOOKUP(D290,Ngan_hang_cau_hoi!$B$2:$K$142,9,0)</f>
        <v>Trung bình</v>
      </c>
      <c r="D290">
        <f t="shared" si="8"/>
        <v>58</v>
      </c>
      <c r="F290" t="str">
        <f>IF(L290=2,COUNTIFS($L$1:L290,2,$B$1:B290,"Chương 3 &amp; 4"),"")</f>
        <v/>
      </c>
      <c r="G290" t="str">
        <f>VLOOKUP(D290,Ngan_hang_cau_hoi!$B$2:$K$142,L290,0)</f>
        <v>Reinstall Windows</v>
      </c>
      <c r="H290" t="str">
        <f>IFERROR(VLOOKUP(J290,Ngan_hang_cau_hoi!$I$2:$L$142,4,0),"")</f>
        <v/>
      </c>
      <c r="J290" t="str">
        <f>IF(VLOOKUP(D290,Ngan_hang_cau_hoi!$B$2:$K$142,8,0)=G290,G290,"")</f>
        <v/>
      </c>
      <c r="L290">
        <f t="shared" si="9"/>
        <v>5</v>
      </c>
    </row>
    <row r="291" spans="1:12" x14ac:dyDescent="0.25">
      <c r="A291">
        <v>289</v>
      </c>
      <c r="B291" t="str">
        <f>VLOOKUP(D291,Ngan_hang_cau_hoi!$B$2:$K$142,10,0)</f>
        <v>Chương 3 &amp; 4</v>
      </c>
      <c r="C291" t="str">
        <f>VLOOKUP(D291,Ngan_hang_cau_hoi!$B$2:$K$142,9,0)</f>
        <v>Trung bình</v>
      </c>
      <c r="D291">
        <f t="shared" si="8"/>
        <v>58</v>
      </c>
      <c r="F291" t="str">
        <f>IF(L291=2,COUNTIFS($L$1:L291,2,$B$1:B291,"Chương 3 &amp; 4"),"")</f>
        <v/>
      </c>
      <c r="G291" t="str">
        <f>VLOOKUP(D291,Ngan_hang_cau_hoi!$B$2:$K$142,L291,0)</f>
        <v>Format ổ cứng</v>
      </c>
      <c r="H291" t="str">
        <f>IFERROR(VLOOKUP(J291,Ngan_hang_cau_hoi!$I$2:$L$142,4,0),"")</f>
        <v/>
      </c>
      <c r="J291" t="str">
        <f>IF(VLOOKUP(D291,Ngan_hang_cau_hoi!$B$2:$K$142,8,0)=G291,G291,"")</f>
        <v/>
      </c>
      <c r="L291">
        <f t="shared" si="9"/>
        <v>6</v>
      </c>
    </row>
    <row r="292" spans="1:12" x14ac:dyDescent="0.25">
      <c r="A292">
        <v>290</v>
      </c>
      <c r="B292" t="str">
        <f>VLOOKUP(D292,Ngan_hang_cau_hoi!$B$2:$K$142,10,0)</f>
        <v>Chương 3 &amp; 4</v>
      </c>
      <c r="C292" t="str">
        <f>VLOOKUP(D292,Ngan_hang_cau_hoi!$B$2:$K$142,9,0)</f>
        <v>Trung bình</v>
      </c>
      <c r="D292">
        <f t="shared" si="8"/>
        <v>59</v>
      </c>
      <c r="F292">
        <f>IF(L292=2,COUNTIFS($L$1:L292,2,$B$1:B292,"Chương 3 &amp; 4"),"")</f>
        <v>12</v>
      </c>
      <c r="G292" t="str">
        <f>VLOOKUP(D292,Ngan_hang_cau_hoi!$B$2:$K$142,L292,0)</f>
        <v>Nếu hệ điều hành Windows lỗi nhưng có System Image, cần:</v>
      </c>
      <c r="H292" t="str">
        <f>IFERROR(VLOOKUP(J292,Ngan_hang_cau_hoi!$I$2:$L$142,4,0),"")</f>
        <v/>
      </c>
      <c r="J292" t="str">
        <f>IF(VLOOKUP(D292,Ngan_hang_cau_hoi!$B$2:$K$142,8,0)=G292,G292,"")</f>
        <v/>
      </c>
      <c r="L292">
        <f t="shared" si="9"/>
        <v>2</v>
      </c>
    </row>
    <row r="293" spans="1:12" x14ac:dyDescent="0.25">
      <c r="A293">
        <v>291</v>
      </c>
      <c r="B293" t="str">
        <f>VLOOKUP(D293,Ngan_hang_cau_hoi!$B$2:$K$142,10,0)</f>
        <v>Chương 3 &amp; 4</v>
      </c>
      <c r="C293" t="str">
        <f>VLOOKUP(D293,Ngan_hang_cau_hoi!$B$2:$K$142,9,0)</f>
        <v>Trung bình</v>
      </c>
      <c r="D293">
        <f t="shared" si="8"/>
        <v>59</v>
      </c>
      <c r="F293" t="str">
        <f>IF(L293=2,COUNTIFS($L$1:L293,2,$B$1:B293,"Chương 3 &amp; 4"),"")</f>
        <v/>
      </c>
      <c r="G293" t="str">
        <f>VLOOKUP(D293,Ngan_hang_cau_hoi!$B$2:$K$142,L293,0)</f>
        <v>Cài lại hệ điều hành</v>
      </c>
      <c r="H293" t="str">
        <f>IFERROR(VLOOKUP(J293,Ngan_hang_cau_hoi!$I$2:$L$142,4,0),"")</f>
        <v/>
      </c>
      <c r="J293" t="str">
        <f>IF(VLOOKUP(D293,Ngan_hang_cau_hoi!$B$2:$K$142,8,0)=G293,G293,"")</f>
        <v/>
      </c>
      <c r="L293">
        <f t="shared" si="9"/>
        <v>3</v>
      </c>
    </row>
    <row r="294" spans="1:12" x14ac:dyDescent="0.25">
      <c r="A294">
        <v>292</v>
      </c>
      <c r="B294" t="str">
        <f>VLOOKUP(D294,Ngan_hang_cau_hoi!$B$2:$K$142,10,0)</f>
        <v>Chương 3 &amp; 4</v>
      </c>
      <c r="C294" t="str">
        <f>VLOOKUP(D294,Ngan_hang_cau_hoi!$B$2:$K$142,9,0)</f>
        <v>Trung bình</v>
      </c>
      <c r="D294">
        <f t="shared" si="8"/>
        <v>59</v>
      </c>
      <c r="F294" t="str">
        <f>IF(L294=2,COUNTIFS($L$1:L294,2,$B$1:B294,"Chương 3 &amp; 4"),"")</f>
        <v/>
      </c>
      <c r="G294" t="str">
        <f>VLOOKUP(D294,Ngan_hang_cau_hoi!$B$2:$K$142,L294,0)</f>
        <v>Backup system image</v>
      </c>
      <c r="H294" t="str">
        <f>IFERROR(VLOOKUP(J294,Ngan_hang_cau_hoi!$I$2:$L$142,4,0),"")</f>
        <v/>
      </c>
      <c r="J294" t="str">
        <f>IF(VLOOKUP(D294,Ngan_hang_cau_hoi!$B$2:$K$142,8,0)=G294,G294,"")</f>
        <v/>
      </c>
      <c r="L294">
        <f t="shared" si="9"/>
        <v>4</v>
      </c>
    </row>
    <row r="295" spans="1:12" x14ac:dyDescent="0.25">
      <c r="A295">
        <v>293</v>
      </c>
      <c r="B295" t="str">
        <f>VLOOKUP(D295,Ngan_hang_cau_hoi!$B$2:$K$142,10,0)</f>
        <v>Chương 3 &amp; 4</v>
      </c>
      <c r="C295" t="str">
        <f>VLOOKUP(D295,Ngan_hang_cau_hoi!$B$2:$K$142,9,0)</f>
        <v>Trung bình</v>
      </c>
      <c r="D295">
        <f t="shared" si="8"/>
        <v>59</v>
      </c>
      <c r="F295" t="str">
        <f>IF(L295=2,COUNTIFS($L$1:L295,2,$B$1:B295,"Chương 3 &amp; 4"),"")</f>
        <v/>
      </c>
      <c r="G295" t="str">
        <f>VLOOKUP(D295,Ngan_hang_cau_hoi!$B$2:$K$142,L295,0)</f>
        <v>restore system image</v>
      </c>
      <c r="H295" t="str">
        <f>IFERROR(VLOOKUP(J295,Ngan_hang_cau_hoi!$I$2:$L$142,4,0),"")</f>
        <v>B</v>
      </c>
      <c r="J295" t="str">
        <f>IF(VLOOKUP(D295,Ngan_hang_cau_hoi!$B$2:$K$142,8,0)=G295,G295,"")</f>
        <v>restore system image</v>
      </c>
      <c r="L295">
        <f t="shared" si="9"/>
        <v>5</v>
      </c>
    </row>
    <row r="296" spans="1:12" x14ac:dyDescent="0.25">
      <c r="A296">
        <v>294</v>
      </c>
      <c r="B296" t="str">
        <f>VLOOKUP(D296,Ngan_hang_cau_hoi!$B$2:$K$142,10,0)</f>
        <v>Chương 3 &amp; 4</v>
      </c>
      <c r="C296" t="str">
        <f>VLOOKUP(D296,Ngan_hang_cau_hoi!$B$2:$K$142,9,0)</f>
        <v>Trung bình</v>
      </c>
      <c r="D296">
        <f t="shared" si="8"/>
        <v>59</v>
      </c>
      <c r="F296" t="str">
        <f>IF(L296=2,COUNTIFS($L$1:L296,2,$B$1:B296,"Chương 3 &amp; 4"),"")</f>
        <v/>
      </c>
      <c r="G296" t="str">
        <f>VLOOKUP(D296,Ngan_hang_cau_hoi!$B$2:$K$142,L296,0)</f>
        <v>Format ổ cứng và cài Windows mới</v>
      </c>
      <c r="H296" t="str">
        <f>IFERROR(VLOOKUP(J296,Ngan_hang_cau_hoi!$I$2:$L$142,4,0),"")</f>
        <v/>
      </c>
      <c r="J296" t="str">
        <f>IF(VLOOKUP(D296,Ngan_hang_cau_hoi!$B$2:$K$142,8,0)=G296,G296,"")</f>
        <v/>
      </c>
      <c r="L296">
        <f t="shared" si="9"/>
        <v>6</v>
      </c>
    </row>
    <row r="297" spans="1:12" x14ac:dyDescent="0.25">
      <c r="A297">
        <v>295</v>
      </c>
      <c r="B297" t="str">
        <f>VLOOKUP(D297,Ngan_hang_cau_hoi!$B$2:$K$142,10,0)</f>
        <v>Chương 3 &amp; 4</v>
      </c>
      <c r="C297" t="str">
        <f>VLOOKUP(D297,Ngan_hang_cau_hoi!$B$2:$K$142,9,0)</f>
        <v>Trung bình</v>
      </c>
      <c r="D297">
        <f t="shared" si="8"/>
        <v>60</v>
      </c>
      <c r="F297">
        <f>IF(L297=2,COUNTIFS($L$1:L297,2,$B$1:B297,"Chương 3 &amp; 4"),"")</f>
        <v>13</v>
      </c>
      <c r="G297" t="str">
        <f>VLOOKUP(D297,Ngan_hang_cau_hoi!$B$2:$K$142,L297,0)</f>
        <v>Nếu cài Windows trên ổ MBR nhưng BIOS đang ở UEFI, sẽ xảy ra:</v>
      </c>
      <c r="H297" t="str">
        <f>IFERROR(VLOOKUP(J297,Ngan_hang_cau_hoi!$I$2:$L$142,4,0),"")</f>
        <v/>
      </c>
      <c r="J297" t="str">
        <f>IF(VLOOKUP(D297,Ngan_hang_cau_hoi!$B$2:$K$142,8,0)=G297,G297,"")</f>
        <v/>
      </c>
      <c r="L297">
        <f t="shared" si="9"/>
        <v>2</v>
      </c>
    </row>
    <row r="298" spans="1:12" x14ac:dyDescent="0.25">
      <c r="A298">
        <v>296</v>
      </c>
      <c r="B298" t="str">
        <f>VLOOKUP(D298,Ngan_hang_cau_hoi!$B$2:$K$142,10,0)</f>
        <v>Chương 3 &amp; 4</v>
      </c>
      <c r="C298" t="str">
        <f>VLOOKUP(D298,Ngan_hang_cau_hoi!$B$2:$K$142,9,0)</f>
        <v>Trung bình</v>
      </c>
      <c r="D298">
        <f t="shared" si="8"/>
        <v>60</v>
      </c>
      <c r="F298" t="str">
        <f>IF(L298=2,COUNTIFS($L$1:L298,2,$B$1:B298,"Chương 3 &amp; 4"),"")</f>
        <v/>
      </c>
      <c r="G298" t="str">
        <f>VLOOKUP(D298,Ngan_hang_cau_hoi!$B$2:$K$142,L298,0)</f>
        <v>Cài bình thường</v>
      </c>
      <c r="H298" t="str">
        <f>IFERROR(VLOOKUP(J298,Ngan_hang_cau_hoi!$I$2:$L$142,4,0),"")</f>
        <v/>
      </c>
      <c r="J298" t="str">
        <f>IF(VLOOKUP(D298,Ngan_hang_cau_hoi!$B$2:$K$142,8,0)=G298,G298,"")</f>
        <v/>
      </c>
      <c r="L298">
        <f t="shared" si="9"/>
        <v>3</v>
      </c>
    </row>
    <row r="299" spans="1:12" x14ac:dyDescent="0.25">
      <c r="A299">
        <v>297</v>
      </c>
      <c r="B299" t="str">
        <f>VLOOKUP(D299,Ngan_hang_cau_hoi!$B$2:$K$142,10,0)</f>
        <v>Chương 3 &amp; 4</v>
      </c>
      <c r="C299" t="str">
        <f>VLOOKUP(D299,Ngan_hang_cau_hoi!$B$2:$K$142,9,0)</f>
        <v>Trung bình</v>
      </c>
      <c r="D299">
        <f t="shared" si="8"/>
        <v>60</v>
      </c>
      <c r="F299" t="str">
        <f>IF(L299=2,COUNTIFS($L$1:L299,2,$B$1:B299,"Chương 3 &amp; 4"),"")</f>
        <v/>
      </c>
      <c r="G299" t="str">
        <f>VLOOKUP(D299,Ngan_hang_cau_hoi!$B$2:$K$142,L299,0)</f>
        <v>Báo lỗi không cài được</v>
      </c>
      <c r="H299" t="str">
        <f>IFERROR(VLOOKUP(J299,Ngan_hang_cau_hoi!$I$2:$L$142,4,0),"")</f>
        <v>B</v>
      </c>
      <c r="J299" t="str">
        <f>IF(VLOOKUP(D299,Ngan_hang_cau_hoi!$B$2:$K$142,8,0)=G299,G299,"")</f>
        <v>Báo lỗi không cài được</v>
      </c>
      <c r="L299">
        <f t="shared" si="9"/>
        <v>4</v>
      </c>
    </row>
    <row r="300" spans="1:12" x14ac:dyDescent="0.25">
      <c r="A300">
        <v>298</v>
      </c>
      <c r="B300" t="str">
        <f>VLOOKUP(D300,Ngan_hang_cau_hoi!$B$2:$K$142,10,0)</f>
        <v>Chương 3 &amp; 4</v>
      </c>
      <c r="C300" t="str">
        <f>VLOOKUP(D300,Ngan_hang_cau_hoi!$B$2:$K$142,9,0)</f>
        <v>Trung bình</v>
      </c>
      <c r="D300">
        <f t="shared" si="8"/>
        <v>60</v>
      </c>
      <c r="F300" t="str">
        <f>IF(L300=2,COUNTIFS($L$1:L300,2,$B$1:B300,"Chương 3 &amp; 4"),"")</f>
        <v/>
      </c>
      <c r="G300" t="str">
        <f>VLOOKUP(D300,Ngan_hang_cau_hoi!$B$2:$K$142,L300,0)</f>
        <v>Máy chạy chậm</v>
      </c>
      <c r="H300" t="str">
        <f>IFERROR(VLOOKUP(J300,Ngan_hang_cau_hoi!$I$2:$L$142,4,0),"")</f>
        <v/>
      </c>
      <c r="J300" t="str">
        <f>IF(VLOOKUP(D300,Ngan_hang_cau_hoi!$B$2:$K$142,8,0)=G300,G300,"")</f>
        <v/>
      </c>
      <c r="L300">
        <f t="shared" si="9"/>
        <v>5</v>
      </c>
    </row>
    <row r="301" spans="1:12" x14ac:dyDescent="0.25">
      <c r="A301">
        <v>299</v>
      </c>
      <c r="B301" t="str">
        <f>VLOOKUP(D301,Ngan_hang_cau_hoi!$B$2:$K$142,10,0)</f>
        <v>Chương 3 &amp; 4</v>
      </c>
      <c r="C301" t="str">
        <f>VLOOKUP(D301,Ngan_hang_cau_hoi!$B$2:$K$142,9,0)</f>
        <v>Trung bình</v>
      </c>
      <c r="D301">
        <f t="shared" si="8"/>
        <v>60</v>
      </c>
      <c r="F301" t="str">
        <f>IF(L301=2,COUNTIFS($L$1:L301,2,$B$1:B301,"Chương 3 &amp; 4"),"")</f>
        <v/>
      </c>
      <c r="G301" t="str">
        <f>VLOOKUP(D301,Ngan_hang_cau_hoi!$B$2:$K$142,L301,0)</f>
        <v>Không nhận RAM</v>
      </c>
      <c r="H301" t="str">
        <f>IFERROR(VLOOKUP(J301,Ngan_hang_cau_hoi!$I$2:$L$142,4,0),"")</f>
        <v/>
      </c>
      <c r="J301" t="str">
        <f>IF(VLOOKUP(D301,Ngan_hang_cau_hoi!$B$2:$K$142,8,0)=G301,G301,"")</f>
        <v/>
      </c>
      <c r="L301">
        <f t="shared" si="9"/>
        <v>6</v>
      </c>
    </row>
    <row r="302" spans="1:12" x14ac:dyDescent="0.25">
      <c r="A302">
        <v>300</v>
      </c>
      <c r="B302" t="str">
        <f>VLOOKUP(D302,Ngan_hang_cau_hoi!$B$2:$K$142,10,0)</f>
        <v>Chương 3 &amp; 4</v>
      </c>
      <c r="C302" t="str">
        <f>VLOOKUP(D302,Ngan_hang_cau_hoi!$B$2:$K$142,9,0)</f>
        <v>Trung bình</v>
      </c>
      <c r="D302">
        <f t="shared" si="8"/>
        <v>61</v>
      </c>
      <c r="F302">
        <f>IF(L302=2,COUNTIFS($L$1:L302,2,$B$1:B302,"Chương 3 &amp; 4"),"")</f>
        <v>14</v>
      </c>
      <c r="G302" t="str">
        <f>VLOOKUP(D302,Ngan_hang_cau_hoi!$B$2:$K$142,L302,0)</f>
        <v>Nếu BIOS để chế độ IDE thay vì AHCI, hậu quả có thể là:</v>
      </c>
      <c r="H302" t="str">
        <f>IFERROR(VLOOKUP(J302,Ngan_hang_cau_hoi!$I$2:$L$142,4,0),"")</f>
        <v/>
      </c>
      <c r="J302" t="str">
        <f>IF(VLOOKUP(D302,Ngan_hang_cau_hoi!$B$2:$K$142,8,0)=G302,G302,"")</f>
        <v/>
      </c>
      <c r="L302">
        <f t="shared" si="9"/>
        <v>2</v>
      </c>
    </row>
    <row r="303" spans="1:12" x14ac:dyDescent="0.25">
      <c r="A303">
        <v>301</v>
      </c>
      <c r="B303" t="str">
        <f>VLOOKUP(D303,Ngan_hang_cau_hoi!$B$2:$K$142,10,0)</f>
        <v>Chương 3 &amp; 4</v>
      </c>
      <c r="C303" t="str">
        <f>VLOOKUP(D303,Ngan_hang_cau_hoi!$B$2:$K$142,9,0)</f>
        <v>Trung bình</v>
      </c>
      <c r="D303">
        <f t="shared" si="8"/>
        <v>61</v>
      </c>
      <c r="F303" t="str">
        <f>IF(L303=2,COUNTIFS($L$1:L303,2,$B$1:B303,"Chương 3 &amp; 4"),"")</f>
        <v/>
      </c>
      <c r="G303" t="str">
        <f>VLOOKUP(D303,Ngan_hang_cau_hoi!$B$2:$K$142,L303,0)</f>
        <v>RAM chạy chậm</v>
      </c>
      <c r="H303" t="str">
        <f>IFERROR(VLOOKUP(J303,Ngan_hang_cau_hoi!$I$2:$L$142,4,0),"")</f>
        <v>A</v>
      </c>
      <c r="J303" t="str">
        <f>IF(VLOOKUP(D303,Ngan_hang_cau_hoi!$B$2:$K$142,8,0)=G303,G303,"")</f>
        <v>RAM chạy chậm</v>
      </c>
      <c r="L303">
        <f t="shared" si="9"/>
        <v>3</v>
      </c>
    </row>
    <row r="304" spans="1:12" x14ac:dyDescent="0.25">
      <c r="A304">
        <v>302</v>
      </c>
      <c r="B304" t="str">
        <f>VLOOKUP(D304,Ngan_hang_cau_hoi!$B$2:$K$142,10,0)</f>
        <v>Chương 3 &amp; 4</v>
      </c>
      <c r="C304" t="str">
        <f>VLOOKUP(D304,Ngan_hang_cau_hoi!$B$2:$K$142,9,0)</f>
        <v>Trung bình</v>
      </c>
      <c r="D304">
        <f t="shared" si="8"/>
        <v>61</v>
      </c>
      <c r="F304" t="str">
        <f>IF(L304=2,COUNTIFS($L$1:L304,2,$B$1:B304,"Chương 3 &amp; 4"),"")</f>
        <v/>
      </c>
      <c r="G304" t="str">
        <f>VLOOKUP(D304,Ngan_hang_cau_hoi!$B$2:$K$142,L304,0)</f>
        <v>SSD chạy chậm</v>
      </c>
      <c r="H304" t="str">
        <f>IFERROR(VLOOKUP(J304,Ngan_hang_cau_hoi!$I$2:$L$142,4,0),"")</f>
        <v/>
      </c>
      <c r="J304" t="str">
        <f>IF(VLOOKUP(D304,Ngan_hang_cau_hoi!$B$2:$K$142,8,0)=G304,G304,"")</f>
        <v/>
      </c>
      <c r="L304">
        <f t="shared" si="9"/>
        <v>4</v>
      </c>
    </row>
    <row r="305" spans="1:12" x14ac:dyDescent="0.25">
      <c r="A305">
        <v>303</v>
      </c>
      <c r="B305" t="str">
        <f>VLOOKUP(D305,Ngan_hang_cau_hoi!$B$2:$K$142,10,0)</f>
        <v>Chương 3 &amp; 4</v>
      </c>
      <c r="C305" t="str">
        <f>VLOOKUP(D305,Ngan_hang_cau_hoi!$B$2:$K$142,9,0)</f>
        <v>Trung bình</v>
      </c>
      <c r="D305">
        <f t="shared" si="8"/>
        <v>61</v>
      </c>
      <c r="F305" t="str">
        <f>IF(L305=2,COUNTIFS($L$1:L305,2,$B$1:B305,"Chương 3 &amp; 4"),"")</f>
        <v/>
      </c>
      <c r="G305" t="str">
        <f>VLOOKUP(D305,Ngan_hang_cau_hoi!$B$2:$K$142,L305,0)</f>
        <v>CPU chạy chậm</v>
      </c>
      <c r="H305" t="str">
        <f>IFERROR(VLOOKUP(J305,Ngan_hang_cau_hoi!$I$2:$L$142,4,0),"")</f>
        <v/>
      </c>
      <c r="J305" t="str">
        <f>IF(VLOOKUP(D305,Ngan_hang_cau_hoi!$B$2:$K$142,8,0)=G305,G305,"")</f>
        <v/>
      </c>
      <c r="L305">
        <f t="shared" si="9"/>
        <v>5</v>
      </c>
    </row>
    <row r="306" spans="1:12" x14ac:dyDescent="0.25">
      <c r="A306">
        <v>304</v>
      </c>
      <c r="B306" t="str">
        <f>VLOOKUP(D306,Ngan_hang_cau_hoi!$B$2:$K$142,10,0)</f>
        <v>Chương 3 &amp; 4</v>
      </c>
      <c r="C306" t="str">
        <f>VLOOKUP(D306,Ngan_hang_cau_hoi!$B$2:$K$142,9,0)</f>
        <v>Trung bình</v>
      </c>
      <c r="D306">
        <f t="shared" si="8"/>
        <v>61</v>
      </c>
      <c r="F306" t="str">
        <f>IF(L306=2,COUNTIFS($L$1:L306,2,$B$1:B306,"Chương 3 &amp; 4"),"")</f>
        <v/>
      </c>
      <c r="G306" t="str">
        <f>VLOOKUP(D306,Ngan_hang_cau_hoi!$B$2:$K$142,L306,0)</f>
        <v>VGA lỗi</v>
      </c>
      <c r="H306" t="str">
        <f>IFERROR(VLOOKUP(J306,Ngan_hang_cau_hoi!$I$2:$L$142,4,0),"")</f>
        <v/>
      </c>
      <c r="J306" t="str">
        <f>IF(VLOOKUP(D306,Ngan_hang_cau_hoi!$B$2:$K$142,8,0)=G306,G306,"")</f>
        <v/>
      </c>
      <c r="L306">
        <f t="shared" si="9"/>
        <v>6</v>
      </c>
    </row>
    <row r="307" spans="1:12" x14ac:dyDescent="0.25">
      <c r="A307">
        <v>305</v>
      </c>
      <c r="B307" t="str">
        <f>VLOOKUP(D307,Ngan_hang_cau_hoi!$B$2:$K$142,10,0)</f>
        <v>Chương 3 &amp; 4</v>
      </c>
      <c r="C307" t="str">
        <f>VLOOKUP(D307,Ngan_hang_cau_hoi!$B$2:$K$142,9,0)</f>
        <v>Trung bình</v>
      </c>
      <c r="D307">
        <f t="shared" si="8"/>
        <v>62</v>
      </c>
      <c r="F307">
        <f>IF(L307=2,COUNTIFS($L$1:L307,2,$B$1:B307,"Chương 3 &amp; 4"),"")</f>
        <v>15</v>
      </c>
      <c r="G307" t="str">
        <f>VLOOKUP(D307,Ngan_hang_cau_hoi!$B$2:$K$142,L307,0)</f>
        <v>Máy tính khởi động nhưng dừng ở màn hình “Boot Device Not Found”. Nguyên nhân phổ biến là:</v>
      </c>
      <c r="H307" t="str">
        <f>IFERROR(VLOOKUP(J307,Ngan_hang_cau_hoi!$I$2:$L$142,4,0),"")</f>
        <v/>
      </c>
      <c r="J307" t="str">
        <f>IF(VLOOKUP(D307,Ngan_hang_cau_hoi!$B$2:$K$142,8,0)=G307,G307,"")</f>
        <v/>
      </c>
      <c r="L307">
        <f t="shared" si="9"/>
        <v>2</v>
      </c>
    </row>
    <row r="308" spans="1:12" x14ac:dyDescent="0.25">
      <c r="A308">
        <v>306</v>
      </c>
      <c r="B308" t="str">
        <f>VLOOKUP(D308,Ngan_hang_cau_hoi!$B$2:$K$142,10,0)</f>
        <v>Chương 3 &amp; 4</v>
      </c>
      <c r="C308" t="str">
        <f>VLOOKUP(D308,Ngan_hang_cau_hoi!$B$2:$K$142,9,0)</f>
        <v>Trung bình</v>
      </c>
      <c r="D308">
        <f t="shared" si="8"/>
        <v>62</v>
      </c>
      <c r="F308" t="str">
        <f>IF(L308=2,COUNTIFS($L$1:L308,2,$B$1:B308,"Chương 3 &amp; 4"),"")</f>
        <v/>
      </c>
      <c r="G308" t="str">
        <f>VLOOKUP(D308,Ngan_hang_cau_hoi!$B$2:$K$142,L308,0)</f>
        <v>Windows chưa kích hoạt</v>
      </c>
      <c r="H308" t="str">
        <f>IFERROR(VLOOKUP(J308,Ngan_hang_cau_hoi!$I$2:$L$142,4,0),"")</f>
        <v/>
      </c>
      <c r="J308" t="str">
        <f>IF(VLOOKUP(D308,Ngan_hang_cau_hoi!$B$2:$K$142,8,0)=G308,G308,"")</f>
        <v/>
      </c>
      <c r="L308">
        <f t="shared" si="9"/>
        <v>3</v>
      </c>
    </row>
    <row r="309" spans="1:12" x14ac:dyDescent="0.25">
      <c r="A309">
        <v>307</v>
      </c>
      <c r="B309" t="str">
        <f>VLOOKUP(D309,Ngan_hang_cau_hoi!$B$2:$K$142,10,0)</f>
        <v>Chương 3 &amp; 4</v>
      </c>
      <c r="C309" t="str">
        <f>VLOOKUP(D309,Ngan_hang_cau_hoi!$B$2:$K$142,9,0)</f>
        <v>Trung bình</v>
      </c>
      <c r="D309">
        <f t="shared" si="8"/>
        <v>62</v>
      </c>
      <c r="F309" t="str">
        <f>IF(L309=2,COUNTIFS($L$1:L309,2,$B$1:B309,"Chương 3 &amp; 4"),"")</f>
        <v/>
      </c>
      <c r="G309" t="str">
        <f>VLOOKUP(D309,Ngan_hang_cau_hoi!$B$2:$K$142,L309,0)</f>
        <v>BIOS không nhận ổ cứng hoặc sai thứ tự boot</v>
      </c>
      <c r="H309" t="str">
        <f>IFERROR(VLOOKUP(J309,Ngan_hang_cau_hoi!$I$2:$L$142,4,0),"")</f>
        <v>B</v>
      </c>
      <c r="J309" t="str">
        <f>IF(VLOOKUP(D309,Ngan_hang_cau_hoi!$B$2:$K$142,8,0)=G309,G309,"")</f>
        <v>BIOS không nhận ổ cứng hoặc sai thứ tự boot</v>
      </c>
      <c r="L309">
        <f t="shared" si="9"/>
        <v>4</v>
      </c>
    </row>
    <row r="310" spans="1:12" x14ac:dyDescent="0.25">
      <c r="A310">
        <v>308</v>
      </c>
      <c r="B310" t="str">
        <f>VLOOKUP(D310,Ngan_hang_cau_hoi!$B$2:$K$142,10,0)</f>
        <v>Chương 3 &amp; 4</v>
      </c>
      <c r="C310" t="str">
        <f>VLOOKUP(D310,Ngan_hang_cau_hoi!$B$2:$K$142,9,0)</f>
        <v>Trung bình</v>
      </c>
      <c r="D310">
        <f t="shared" si="8"/>
        <v>62</v>
      </c>
      <c r="F310" t="str">
        <f>IF(L310=2,COUNTIFS($L$1:L310,2,$B$1:B310,"Chương 3 &amp; 4"),"")</f>
        <v/>
      </c>
      <c r="G310" t="str">
        <f>VLOOKUP(D310,Ngan_hang_cau_hoi!$B$2:$K$142,L310,0)</f>
        <v>Sai key bản quyền</v>
      </c>
      <c r="H310" t="str">
        <f>IFERROR(VLOOKUP(J310,Ngan_hang_cau_hoi!$I$2:$L$142,4,0),"")</f>
        <v/>
      </c>
      <c r="J310" t="str">
        <f>IF(VLOOKUP(D310,Ngan_hang_cau_hoi!$B$2:$K$142,8,0)=G310,G310,"")</f>
        <v/>
      </c>
      <c r="L310">
        <f t="shared" si="9"/>
        <v>5</v>
      </c>
    </row>
    <row r="311" spans="1:12" x14ac:dyDescent="0.25">
      <c r="A311">
        <v>309</v>
      </c>
      <c r="B311" t="str">
        <f>VLOOKUP(D311,Ngan_hang_cau_hoi!$B$2:$K$142,10,0)</f>
        <v>Chương 3 &amp; 4</v>
      </c>
      <c r="C311" t="str">
        <f>VLOOKUP(D311,Ngan_hang_cau_hoi!$B$2:$K$142,9,0)</f>
        <v>Trung bình</v>
      </c>
      <c r="D311">
        <f t="shared" si="8"/>
        <v>62</v>
      </c>
      <c r="F311" t="str">
        <f>IF(L311=2,COUNTIFS($L$1:L311,2,$B$1:B311,"Chương 3 &amp; 4"),"")</f>
        <v/>
      </c>
      <c r="G311" t="str">
        <f>VLOOKUP(D311,Ngan_hang_cau_hoi!$B$2:$K$142,L311,0)</f>
        <v>Thiếu driver chipset</v>
      </c>
      <c r="H311" t="str">
        <f>IFERROR(VLOOKUP(J311,Ngan_hang_cau_hoi!$I$2:$L$142,4,0),"")</f>
        <v/>
      </c>
      <c r="J311" t="str">
        <f>IF(VLOOKUP(D311,Ngan_hang_cau_hoi!$B$2:$K$142,8,0)=G311,G311,"")</f>
        <v/>
      </c>
      <c r="L311">
        <f t="shared" si="9"/>
        <v>6</v>
      </c>
    </row>
    <row r="312" spans="1:12" x14ac:dyDescent="0.25">
      <c r="A312">
        <v>310</v>
      </c>
      <c r="B312" t="str">
        <f>VLOOKUP(D312,Ngan_hang_cau_hoi!$B$2:$K$142,10,0)</f>
        <v>Chương 3 &amp; 4</v>
      </c>
      <c r="C312" t="str">
        <f>VLOOKUP(D312,Ngan_hang_cau_hoi!$B$2:$K$142,9,0)</f>
        <v>Trung bình</v>
      </c>
      <c r="D312">
        <f t="shared" si="8"/>
        <v>63</v>
      </c>
      <c r="F312">
        <f>IF(L312=2,COUNTIFS($L$1:L312,2,$B$1:B312,"Chương 3 &amp; 4"),"")</f>
        <v>16</v>
      </c>
      <c r="G312" t="str">
        <f>VLOOKUP(D312,Ngan_hang_cau_hoi!$B$2:$K$142,L312,0)</f>
        <v>Máy tính hiển thị lỗi “Operating System Not Found”. Nguyên nhân:</v>
      </c>
      <c r="H312" t="str">
        <f>IFERROR(VLOOKUP(J312,Ngan_hang_cau_hoi!$I$2:$L$142,4,0),"")</f>
        <v/>
      </c>
      <c r="J312" t="str">
        <f>IF(VLOOKUP(D312,Ngan_hang_cau_hoi!$B$2:$K$142,8,0)=G312,G312,"")</f>
        <v/>
      </c>
      <c r="L312">
        <f t="shared" si="9"/>
        <v>2</v>
      </c>
    </row>
    <row r="313" spans="1:12" x14ac:dyDescent="0.25">
      <c r="A313">
        <v>311</v>
      </c>
      <c r="B313" t="str">
        <f>VLOOKUP(D313,Ngan_hang_cau_hoi!$B$2:$K$142,10,0)</f>
        <v>Chương 3 &amp; 4</v>
      </c>
      <c r="C313" t="str">
        <f>VLOOKUP(D313,Ngan_hang_cau_hoi!$B$2:$K$142,9,0)</f>
        <v>Trung bình</v>
      </c>
      <c r="D313">
        <f t="shared" si="8"/>
        <v>63</v>
      </c>
      <c r="F313" t="str">
        <f>IF(L313=2,COUNTIFS($L$1:L313,2,$B$1:B313,"Chương 3 &amp; 4"),"")</f>
        <v/>
      </c>
      <c r="G313" t="str">
        <f>VLOOKUP(D313,Ngan_hang_cau_hoi!$B$2:$K$142,L313,0)</f>
        <v>Không có quyền Administrator</v>
      </c>
      <c r="H313" t="str">
        <f>IFERROR(VLOOKUP(J313,Ngan_hang_cau_hoi!$I$2:$L$142,4,0),"")</f>
        <v/>
      </c>
      <c r="J313" t="str">
        <f>IF(VLOOKUP(D313,Ngan_hang_cau_hoi!$B$2:$K$142,8,0)=G313,G313,"")</f>
        <v/>
      </c>
      <c r="L313">
        <f t="shared" si="9"/>
        <v>3</v>
      </c>
    </row>
    <row r="314" spans="1:12" x14ac:dyDescent="0.25">
      <c r="A314">
        <v>312</v>
      </c>
      <c r="B314" t="str">
        <f>VLOOKUP(D314,Ngan_hang_cau_hoi!$B$2:$K$142,10,0)</f>
        <v>Chương 3 &amp; 4</v>
      </c>
      <c r="C314" t="str">
        <f>VLOOKUP(D314,Ngan_hang_cau_hoi!$B$2:$K$142,9,0)</f>
        <v>Trung bình</v>
      </c>
      <c r="D314">
        <f t="shared" si="8"/>
        <v>63</v>
      </c>
      <c r="F314" t="str">
        <f>IF(L314=2,COUNTIFS($L$1:L314,2,$B$1:B314,"Chương 3 &amp; 4"),"")</f>
        <v/>
      </c>
      <c r="G314" t="str">
        <f>VLOOKUP(D314,Ngan_hang_cau_hoi!$B$2:$K$142,L314,0)</f>
        <v>Ổ cứng không có hệ điều hành</v>
      </c>
      <c r="H314" t="str">
        <f>IFERROR(VLOOKUP(J314,Ngan_hang_cau_hoi!$I$2:$L$142,4,0),"")</f>
        <v>B</v>
      </c>
      <c r="J314" t="str">
        <f>IF(VLOOKUP(D314,Ngan_hang_cau_hoi!$B$2:$K$142,8,0)=G314,G314,"")</f>
        <v>Ổ cứng không có hệ điều hành</v>
      </c>
      <c r="L314">
        <f t="shared" si="9"/>
        <v>4</v>
      </c>
    </row>
    <row r="315" spans="1:12" x14ac:dyDescent="0.25">
      <c r="A315">
        <v>313</v>
      </c>
      <c r="B315" t="str">
        <f>VLOOKUP(D315,Ngan_hang_cau_hoi!$B$2:$K$142,10,0)</f>
        <v>Chương 3 &amp; 4</v>
      </c>
      <c r="C315" t="str">
        <f>VLOOKUP(D315,Ngan_hang_cau_hoi!$B$2:$K$142,9,0)</f>
        <v>Trung bình</v>
      </c>
      <c r="D315">
        <f t="shared" si="8"/>
        <v>63</v>
      </c>
      <c r="F315" t="str">
        <f>IF(L315=2,COUNTIFS($L$1:L315,2,$B$1:B315,"Chương 3 &amp; 4"),"")</f>
        <v/>
      </c>
      <c r="G315" t="str">
        <f>VLOOKUP(D315,Ngan_hang_cau_hoi!$B$2:$K$142,L315,0)</f>
        <v>Windows chưa kích hoạt</v>
      </c>
      <c r="H315" t="str">
        <f>IFERROR(VLOOKUP(J315,Ngan_hang_cau_hoi!$I$2:$L$142,4,0),"")</f>
        <v/>
      </c>
      <c r="J315" t="str">
        <f>IF(VLOOKUP(D315,Ngan_hang_cau_hoi!$B$2:$K$142,8,0)=G315,G315,"")</f>
        <v/>
      </c>
      <c r="L315">
        <f t="shared" si="9"/>
        <v>5</v>
      </c>
    </row>
    <row r="316" spans="1:12" x14ac:dyDescent="0.25">
      <c r="A316">
        <v>314</v>
      </c>
      <c r="B316" t="str">
        <f>VLOOKUP(D316,Ngan_hang_cau_hoi!$B$2:$K$142,10,0)</f>
        <v>Chương 3 &amp; 4</v>
      </c>
      <c r="C316" t="str">
        <f>VLOOKUP(D316,Ngan_hang_cau_hoi!$B$2:$K$142,9,0)</f>
        <v>Trung bình</v>
      </c>
      <c r="D316">
        <f t="shared" si="8"/>
        <v>63</v>
      </c>
      <c r="F316" t="str">
        <f>IF(L316=2,COUNTIFS($L$1:L316,2,$B$1:B316,"Chương 3 &amp; 4"),"")</f>
        <v/>
      </c>
      <c r="G316" t="str">
        <f>VLOOKUP(D316,Ngan_hang_cau_hoi!$B$2:$K$142,L316,0)</f>
        <v>Sửa lỗi hệ thống hoặc driver</v>
      </c>
      <c r="H316" t="str">
        <f>IFERROR(VLOOKUP(J316,Ngan_hang_cau_hoi!$I$2:$L$142,4,0),"")</f>
        <v/>
      </c>
      <c r="J316" t="str">
        <f>IF(VLOOKUP(D316,Ngan_hang_cau_hoi!$B$2:$K$142,8,0)=G316,G316,"")</f>
        <v/>
      </c>
      <c r="L316">
        <f t="shared" si="9"/>
        <v>6</v>
      </c>
    </row>
    <row r="317" spans="1:12" x14ac:dyDescent="0.25">
      <c r="A317">
        <v>315</v>
      </c>
      <c r="B317" t="str">
        <f>VLOOKUP(D317,Ngan_hang_cau_hoi!$B$2:$K$142,10,0)</f>
        <v>Chương 3 &amp; 4</v>
      </c>
      <c r="C317" t="str">
        <f>VLOOKUP(D317,Ngan_hang_cau_hoi!$B$2:$K$142,9,0)</f>
        <v>Trung bình</v>
      </c>
      <c r="D317">
        <f t="shared" si="8"/>
        <v>64</v>
      </c>
      <c r="F317">
        <f>IF(L317=2,COUNTIFS($L$1:L317,2,$B$1:B317,"Chương 3 &amp; 4"),"")</f>
        <v>17</v>
      </c>
      <c r="G317" t="str">
        <f>VLOOKUP(D317,Ngan_hang_cau_hoi!$B$2:$K$142,L317,0)</f>
        <v>Máy tính báo “Disk 100% usage” trong Task Manager. Nguyên nhân có thể là:</v>
      </c>
      <c r="H317" t="str">
        <f>IFERROR(VLOOKUP(J317,Ngan_hang_cau_hoi!$I$2:$L$142,4,0),"")</f>
        <v/>
      </c>
      <c r="J317" t="str">
        <f>IF(VLOOKUP(D317,Ngan_hang_cau_hoi!$B$2:$K$142,8,0)=G317,G317,"")</f>
        <v/>
      </c>
      <c r="L317">
        <f t="shared" si="9"/>
        <v>2</v>
      </c>
    </row>
    <row r="318" spans="1:12" x14ac:dyDescent="0.25">
      <c r="A318">
        <v>316</v>
      </c>
      <c r="B318" t="str">
        <f>VLOOKUP(D318,Ngan_hang_cau_hoi!$B$2:$K$142,10,0)</f>
        <v>Chương 3 &amp; 4</v>
      </c>
      <c r="C318" t="str">
        <f>VLOOKUP(D318,Ngan_hang_cau_hoi!$B$2:$K$142,9,0)</f>
        <v>Trung bình</v>
      </c>
      <c r="D318">
        <f t="shared" si="8"/>
        <v>64</v>
      </c>
      <c r="F318" t="str">
        <f>IF(L318=2,COUNTIFS($L$1:L318,2,$B$1:B318,"Chương 3 &amp; 4"),"")</f>
        <v/>
      </c>
      <c r="G318" t="str">
        <f>VLOOKUP(D318,Ngan_hang_cau_hoi!$B$2:$K$142,L318,0)</f>
        <v>RAM quá lớn</v>
      </c>
      <c r="H318" t="str">
        <f>IFERROR(VLOOKUP(J318,Ngan_hang_cau_hoi!$I$2:$L$142,4,0),"")</f>
        <v/>
      </c>
      <c r="J318" t="str">
        <f>IF(VLOOKUP(D318,Ngan_hang_cau_hoi!$B$2:$K$142,8,0)=G318,G318,"")</f>
        <v/>
      </c>
      <c r="L318">
        <f t="shared" si="9"/>
        <v>3</v>
      </c>
    </row>
    <row r="319" spans="1:12" x14ac:dyDescent="0.25">
      <c r="A319">
        <v>317</v>
      </c>
      <c r="B319" t="str">
        <f>VLOOKUP(D319,Ngan_hang_cau_hoi!$B$2:$K$142,10,0)</f>
        <v>Chương 3 &amp; 4</v>
      </c>
      <c r="C319" t="str">
        <f>VLOOKUP(D319,Ngan_hang_cau_hoi!$B$2:$K$142,9,0)</f>
        <v>Trung bình</v>
      </c>
      <c r="D319">
        <f t="shared" si="8"/>
        <v>64</v>
      </c>
      <c r="F319" t="str">
        <f>IF(L319=2,COUNTIFS($L$1:L319,2,$B$1:B319,"Chương 3 &amp; 4"),"")</f>
        <v/>
      </c>
      <c r="G319" t="str">
        <f>VLOOKUP(D319,Ngan_hang_cau_hoi!$B$2:$K$142,L319,0)</f>
        <v>Driver USB chưa cài hoặc bị lỗi</v>
      </c>
      <c r="H319" t="str">
        <f>IFERROR(VLOOKUP(J319,Ngan_hang_cau_hoi!$I$2:$L$142,4,0),"")</f>
        <v/>
      </c>
      <c r="J319" t="str">
        <f>IF(VLOOKUP(D319,Ngan_hang_cau_hoi!$B$2:$K$142,8,0)=G319,G319,"")</f>
        <v/>
      </c>
      <c r="L319">
        <f t="shared" si="9"/>
        <v>4</v>
      </c>
    </row>
    <row r="320" spans="1:12" x14ac:dyDescent="0.25">
      <c r="A320">
        <v>318</v>
      </c>
      <c r="B320" t="str">
        <f>VLOOKUP(D320,Ngan_hang_cau_hoi!$B$2:$K$142,10,0)</f>
        <v>Chương 3 &amp; 4</v>
      </c>
      <c r="C320" t="str">
        <f>VLOOKUP(D320,Ngan_hang_cau_hoi!$B$2:$K$142,9,0)</f>
        <v>Trung bình</v>
      </c>
      <c r="D320">
        <f t="shared" si="8"/>
        <v>64</v>
      </c>
      <c r="F320" t="str">
        <f>IF(L320=2,COUNTIFS($L$1:L320,2,$B$1:B320,"Chương 3 &amp; 4"),"")</f>
        <v/>
      </c>
      <c r="G320" t="str">
        <f>VLOOKUP(D320,Ngan_hang_cau_hoi!$B$2:$K$142,L320,0)</f>
        <v>Ổ cứng hoạt động quá tải</v>
      </c>
      <c r="H320" t="str">
        <f>IFERROR(VLOOKUP(J320,Ngan_hang_cau_hoi!$I$2:$L$142,4,0),"")</f>
        <v>C</v>
      </c>
      <c r="J320" t="str">
        <f>IF(VLOOKUP(D320,Ngan_hang_cau_hoi!$B$2:$K$142,8,0)=G320,G320,"")</f>
        <v>Ổ cứng hoạt động quá tải</v>
      </c>
      <c r="L320">
        <f t="shared" si="9"/>
        <v>5</v>
      </c>
    </row>
    <row r="321" spans="1:12" x14ac:dyDescent="0.25">
      <c r="A321">
        <v>319</v>
      </c>
      <c r="B321" t="str">
        <f>VLOOKUP(D321,Ngan_hang_cau_hoi!$B$2:$K$142,10,0)</f>
        <v>Chương 3 &amp; 4</v>
      </c>
      <c r="C321" t="str">
        <f>VLOOKUP(D321,Ngan_hang_cau_hoi!$B$2:$K$142,9,0)</f>
        <v>Trung bình</v>
      </c>
      <c r="D321">
        <f t="shared" si="8"/>
        <v>64</v>
      </c>
      <c r="F321" t="str">
        <f>IF(L321=2,COUNTIFS($L$1:L321,2,$B$1:B321,"Chương 3 &amp; 4"),"")</f>
        <v/>
      </c>
      <c r="G321" t="str">
        <f>VLOOKUP(D321,Ngan_hang_cau_hoi!$B$2:$K$142,L321,0)</f>
        <v>Driver mạng lỗi</v>
      </c>
      <c r="H321" t="str">
        <f>IFERROR(VLOOKUP(J321,Ngan_hang_cau_hoi!$I$2:$L$142,4,0),"")</f>
        <v/>
      </c>
      <c r="J321" t="str">
        <f>IF(VLOOKUP(D321,Ngan_hang_cau_hoi!$B$2:$K$142,8,0)=G321,G321,"")</f>
        <v/>
      </c>
      <c r="L321">
        <f t="shared" si="9"/>
        <v>6</v>
      </c>
    </row>
    <row r="322" spans="1:12" x14ac:dyDescent="0.25">
      <c r="A322">
        <v>320</v>
      </c>
      <c r="B322" t="str">
        <f>VLOOKUP(D322,Ngan_hang_cau_hoi!$B$2:$K$142,10,0)</f>
        <v>Chương 3 &amp; 4</v>
      </c>
      <c r="C322" t="str">
        <f>VLOOKUP(D322,Ngan_hang_cau_hoi!$B$2:$K$142,9,0)</f>
        <v>Trung bình</v>
      </c>
      <c r="D322">
        <f t="shared" si="8"/>
        <v>65</v>
      </c>
      <c r="F322">
        <f>IF(L322=2,COUNTIFS($L$1:L322,2,$B$1:B322,"Chương 3 &amp; 4"),"")</f>
        <v>18</v>
      </c>
      <c r="G322" t="str">
        <f>VLOOKUP(D322,Ngan_hang_cau_hoi!$B$2:$K$142,L322,0)</f>
        <v>Khi cài Windows từ USB mà không boot được, cần kiểm tra:</v>
      </c>
      <c r="H322" t="str">
        <f>IFERROR(VLOOKUP(J322,Ngan_hang_cau_hoi!$I$2:$L$142,4,0),"")</f>
        <v/>
      </c>
      <c r="J322" t="str">
        <f>IF(VLOOKUP(D322,Ngan_hang_cau_hoi!$B$2:$K$142,8,0)=G322,G322,"")</f>
        <v/>
      </c>
      <c r="L322">
        <f t="shared" si="9"/>
        <v>2</v>
      </c>
    </row>
    <row r="323" spans="1:12" x14ac:dyDescent="0.25">
      <c r="A323">
        <v>321</v>
      </c>
      <c r="B323" t="str">
        <f>VLOOKUP(D323,Ngan_hang_cau_hoi!$B$2:$K$142,10,0)</f>
        <v>Chương 3 &amp; 4</v>
      </c>
      <c r="C323" t="str">
        <f>VLOOKUP(D323,Ngan_hang_cau_hoi!$B$2:$K$142,9,0)</f>
        <v>Trung bình</v>
      </c>
      <c r="D323">
        <f t="shared" ref="D323:D386" si="10">INT(A323/5)+1</f>
        <v>65</v>
      </c>
      <c r="F323" t="str">
        <f>IF(L323=2,COUNTIFS($L$1:L323,2,$B$1:B323,"Chương 3 &amp; 4"),"")</f>
        <v/>
      </c>
      <c r="G323" t="str">
        <f>VLOOKUP(D323,Ngan_hang_cau_hoi!$B$2:$K$142,L323,0)</f>
        <v>Boot Priority</v>
      </c>
      <c r="H323" t="str">
        <f>IFERROR(VLOOKUP(J323,Ngan_hang_cau_hoi!$I$2:$L$142,4,0),"")</f>
        <v>A</v>
      </c>
      <c r="J323" t="str">
        <f>IF(VLOOKUP(D323,Ngan_hang_cau_hoi!$B$2:$K$142,8,0)=G323,G323,"")</f>
        <v>Boot Priority</v>
      </c>
      <c r="L323">
        <f t="shared" ref="L323:L386" si="11">IF(L322=6,2,L322+1)</f>
        <v>3</v>
      </c>
    </row>
    <row r="324" spans="1:12" x14ac:dyDescent="0.25">
      <c r="A324">
        <v>322</v>
      </c>
      <c r="B324" t="str">
        <f>VLOOKUP(D324,Ngan_hang_cau_hoi!$B$2:$K$142,10,0)</f>
        <v>Chương 3 &amp; 4</v>
      </c>
      <c r="C324" t="str">
        <f>VLOOKUP(D324,Ngan_hang_cau_hoi!$B$2:$K$142,9,0)</f>
        <v>Trung bình</v>
      </c>
      <c r="D324">
        <f t="shared" si="10"/>
        <v>65</v>
      </c>
      <c r="F324" t="str">
        <f>IF(L324=2,COUNTIFS($L$1:L324,2,$B$1:B324,"Chương 3 &amp; 4"),"")</f>
        <v/>
      </c>
      <c r="G324" t="str">
        <f>VLOOKUP(D324,Ngan_hang_cau_hoi!$B$2:$K$142,L324,0)</f>
        <v>Ổ cứng</v>
      </c>
      <c r="H324" t="str">
        <f>IFERROR(VLOOKUP(J324,Ngan_hang_cau_hoi!$I$2:$L$142,4,0),"")</f>
        <v/>
      </c>
      <c r="J324" t="str">
        <f>IF(VLOOKUP(D324,Ngan_hang_cau_hoi!$B$2:$K$142,8,0)=G324,G324,"")</f>
        <v/>
      </c>
      <c r="L324">
        <f t="shared" si="11"/>
        <v>4</v>
      </c>
    </row>
    <row r="325" spans="1:12" x14ac:dyDescent="0.25">
      <c r="A325">
        <v>323</v>
      </c>
      <c r="B325" t="str">
        <f>VLOOKUP(D325,Ngan_hang_cau_hoi!$B$2:$K$142,10,0)</f>
        <v>Chương 3 &amp; 4</v>
      </c>
      <c r="C325" t="str">
        <f>VLOOKUP(D325,Ngan_hang_cau_hoi!$B$2:$K$142,9,0)</f>
        <v>Trung bình</v>
      </c>
      <c r="D325">
        <f t="shared" si="10"/>
        <v>65</v>
      </c>
      <c r="F325" t="str">
        <f>IF(L325=2,COUNTIFS($L$1:L325,2,$B$1:B325,"Chương 3 &amp; 4"),"")</f>
        <v/>
      </c>
      <c r="G325" t="str">
        <f>VLOOKUP(D325,Ngan_hang_cau_hoi!$B$2:$K$142,L325,0)</f>
        <v>RAM</v>
      </c>
      <c r="H325" t="str">
        <f>IFERROR(VLOOKUP(J325,Ngan_hang_cau_hoi!$I$2:$L$142,4,0),"")</f>
        <v/>
      </c>
      <c r="J325" t="str">
        <f>IF(VLOOKUP(D325,Ngan_hang_cau_hoi!$B$2:$K$142,8,0)=G325,G325,"")</f>
        <v/>
      </c>
      <c r="L325">
        <f t="shared" si="11"/>
        <v>5</v>
      </c>
    </row>
    <row r="326" spans="1:12" x14ac:dyDescent="0.25">
      <c r="A326">
        <v>324</v>
      </c>
      <c r="B326" t="str">
        <f>VLOOKUP(D326,Ngan_hang_cau_hoi!$B$2:$K$142,10,0)</f>
        <v>Chương 3 &amp; 4</v>
      </c>
      <c r="C326" t="str">
        <f>VLOOKUP(D326,Ngan_hang_cau_hoi!$B$2:$K$142,9,0)</f>
        <v>Trung bình</v>
      </c>
      <c r="D326">
        <f t="shared" si="10"/>
        <v>65</v>
      </c>
      <c r="F326" t="str">
        <f>IF(L326=2,COUNTIFS($L$1:L326,2,$B$1:B326,"Chương 3 &amp; 4"),"")</f>
        <v/>
      </c>
      <c r="G326" t="str">
        <f>VLOOKUP(D326,Ngan_hang_cau_hoi!$B$2:$K$142,L326,0)</f>
        <v>VGA</v>
      </c>
      <c r="H326" t="str">
        <f>IFERROR(VLOOKUP(J326,Ngan_hang_cau_hoi!$I$2:$L$142,4,0),"")</f>
        <v/>
      </c>
      <c r="J326" t="str">
        <f>IF(VLOOKUP(D326,Ngan_hang_cau_hoi!$B$2:$K$142,8,0)=G326,G326,"")</f>
        <v/>
      </c>
      <c r="L326">
        <f t="shared" si="11"/>
        <v>6</v>
      </c>
    </row>
    <row r="327" spans="1:12" x14ac:dyDescent="0.25">
      <c r="A327">
        <v>325</v>
      </c>
      <c r="B327" t="str">
        <f>VLOOKUP(D327,Ngan_hang_cau_hoi!$B$2:$K$142,10,0)</f>
        <v>Chương 3 &amp; 4</v>
      </c>
      <c r="C327" t="str">
        <f>VLOOKUP(D327,Ngan_hang_cau_hoi!$B$2:$K$142,9,0)</f>
        <v>Trung bình</v>
      </c>
      <c r="D327">
        <f t="shared" si="10"/>
        <v>66</v>
      </c>
      <c r="F327">
        <f>IF(L327=2,COUNTIFS($L$1:L327,2,$B$1:B327,"Chương 3 &amp; 4"),"")</f>
        <v>19</v>
      </c>
      <c r="G327" t="str">
        <f>VLOOKUP(D327,Ngan_hang_cau_hoi!$B$2:$K$142,L327,0)</f>
        <v>Khi cài phần mềm xuất hiện thông báo missing DLL.
Nguyên nhân:</v>
      </c>
      <c r="H327" t="str">
        <f>IFERROR(VLOOKUP(J327,Ngan_hang_cau_hoi!$I$2:$L$142,4,0),"")</f>
        <v/>
      </c>
      <c r="J327" t="str">
        <f>IF(VLOOKUP(D327,Ngan_hang_cau_hoi!$B$2:$K$142,8,0)=G327,G327,"")</f>
        <v/>
      </c>
      <c r="L327">
        <f t="shared" si="11"/>
        <v>2</v>
      </c>
    </row>
    <row r="328" spans="1:12" x14ac:dyDescent="0.25">
      <c r="A328">
        <v>326</v>
      </c>
      <c r="B328" t="str">
        <f>VLOOKUP(D328,Ngan_hang_cau_hoi!$B$2:$K$142,10,0)</f>
        <v>Chương 3 &amp; 4</v>
      </c>
      <c r="C328" t="str">
        <f>VLOOKUP(D328,Ngan_hang_cau_hoi!$B$2:$K$142,9,0)</f>
        <v>Trung bình</v>
      </c>
      <c r="D328">
        <f t="shared" si="10"/>
        <v>66</v>
      </c>
      <c r="F328" t="str">
        <f>IF(L328=2,COUNTIFS($L$1:L328,2,$B$1:B328,"Chương 3 &amp; 4"),"")</f>
        <v/>
      </c>
      <c r="G328" t="str">
        <f>VLOOKUP(D328,Ngan_hang_cau_hoi!$B$2:$K$142,L328,0)</f>
        <v>Chưa có bản quyền</v>
      </c>
      <c r="H328" t="str">
        <f>IFERROR(VLOOKUP(J328,Ngan_hang_cau_hoi!$I$2:$L$142,4,0),"")</f>
        <v/>
      </c>
      <c r="J328" t="str">
        <f>IF(VLOOKUP(D328,Ngan_hang_cau_hoi!$B$2:$K$142,8,0)=G328,G328,"")</f>
        <v/>
      </c>
      <c r="L328">
        <f t="shared" si="11"/>
        <v>3</v>
      </c>
    </row>
    <row r="329" spans="1:12" x14ac:dyDescent="0.25">
      <c r="A329">
        <v>327</v>
      </c>
      <c r="B329" t="str">
        <f>VLOOKUP(D329,Ngan_hang_cau_hoi!$B$2:$K$142,10,0)</f>
        <v>Chương 3 &amp; 4</v>
      </c>
      <c r="C329" t="str">
        <f>VLOOKUP(D329,Ngan_hang_cau_hoi!$B$2:$K$142,9,0)</f>
        <v>Trung bình</v>
      </c>
      <c r="D329">
        <f t="shared" si="10"/>
        <v>66</v>
      </c>
      <c r="F329" t="str">
        <f>IF(L329=2,COUNTIFS($L$1:L329,2,$B$1:B329,"Chương 3 &amp; 4"),"")</f>
        <v/>
      </c>
      <c r="G329" t="str">
        <f>VLOOKUP(D329,Ngan_hang_cau_hoi!$B$2:$K$142,L329,0)</f>
        <v>Chưa cài driver</v>
      </c>
      <c r="H329" t="str">
        <f>IFERROR(VLOOKUP(J329,Ngan_hang_cau_hoi!$I$2:$L$142,4,0),"")</f>
        <v/>
      </c>
      <c r="J329" t="str">
        <f>IF(VLOOKUP(D329,Ngan_hang_cau_hoi!$B$2:$K$142,8,0)=G329,G329,"")</f>
        <v/>
      </c>
      <c r="L329">
        <f t="shared" si="11"/>
        <v>4</v>
      </c>
    </row>
    <row r="330" spans="1:12" x14ac:dyDescent="0.25">
      <c r="A330">
        <v>328</v>
      </c>
      <c r="B330" t="str">
        <f>VLOOKUP(D330,Ngan_hang_cau_hoi!$B$2:$K$142,10,0)</f>
        <v>Chương 3 &amp; 4</v>
      </c>
      <c r="C330" t="str">
        <f>VLOOKUP(D330,Ngan_hang_cau_hoi!$B$2:$K$142,9,0)</f>
        <v>Trung bình</v>
      </c>
      <c r="D330">
        <f t="shared" si="10"/>
        <v>66</v>
      </c>
      <c r="F330" t="str">
        <f>IF(L330=2,COUNTIFS($L$1:L330,2,$B$1:B330,"Chương 3 &amp; 4"),"")</f>
        <v/>
      </c>
      <c r="G330" t="str">
        <f>VLOOKUP(D330,Ngan_hang_cau_hoi!$B$2:$K$142,L330,0)</f>
        <v>Thiếu thư viện hệ thống</v>
      </c>
      <c r="H330" t="str">
        <f>IFERROR(VLOOKUP(J330,Ngan_hang_cau_hoi!$I$2:$L$142,4,0),"")</f>
        <v>C</v>
      </c>
      <c r="J330" t="str">
        <f>IF(VLOOKUP(D330,Ngan_hang_cau_hoi!$B$2:$K$142,8,0)=G330,G330,"")</f>
        <v>Thiếu thư viện hệ thống</v>
      </c>
      <c r="L330">
        <f t="shared" si="11"/>
        <v>5</v>
      </c>
    </row>
    <row r="331" spans="1:12" x14ac:dyDescent="0.25">
      <c r="A331">
        <v>329</v>
      </c>
      <c r="B331" t="str">
        <f>VLOOKUP(D331,Ngan_hang_cau_hoi!$B$2:$K$142,10,0)</f>
        <v>Chương 3 &amp; 4</v>
      </c>
      <c r="C331" t="str">
        <f>VLOOKUP(D331,Ngan_hang_cau_hoi!$B$2:$K$142,9,0)</f>
        <v>Trung bình</v>
      </c>
      <c r="D331">
        <f t="shared" si="10"/>
        <v>66</v>
      </c>
      <c r="F331" t="str">
        <f>IF(L331=2,COUNTIFS($L$1:L331,2,$B$1:B331,"Chương 3 &amp; 4"),"")</f>
        <v/>
      </c>
      <c r="G331" t="str">
        <f>VLOOKUP(D331,Ngan_hang_cau_hoi!$B$2:$K$142,L331,0)</f>
        <v>Thiếu driver</v>
      </c>
      <c r="H331" t="str">
        <f>IFERROR(VLOOKUP(J331,Ngan_hang_cau_hoi!$I$2:$L$142,4,0),"")</f>
        <v/>
      </c>
      <c r="J331" t="str">
        <f>IF(VLOOKUP(D331,Ngan_hang_cau_hoi!$B$2:$K$142,8,0)=G331,G331,"")</f>
        <v/>
      </c>
      <c r="L331">
        <f t="shared" si="11"/>
        <v>6</v>
      </c>
    </row>
    <row r="332" spans="1:12" x14ac:dyDescent="0.25">
      <c r="A332">
        <v>330</v>
      </c>
      <c r="B332" t="str">
        <f>VLOOKUP(D332,Ngan_hang_cau_hoi!$B$2:$K$142,10,0)</f>
        <v>Chương 3 &amp; 4</v>
      </c>
      <c r="C332" t="str">
        <f>VLOOKUP(D332,Ngan_hang_cau_hoi!$B$2:$K$142,9,0)</f>
        <v>Trung bình</v>
      </c>
      <c r="D332">
        <f t="shared" si="10"/>
        <v>67</v>
      </c>
      <c r="F332">
        <f>IF(L332=2,COUNTIFS($L$1:L332,2,$B$1:B332,"Chương 3 &amp; 4"),"")</f>
        <v>20</v>
      </c>
      <c r="G332" t="str">
        <f>VLOOKUP(D332,Ngan_hang_cau_hoi!$B$2:$K$142,L332,0)</f>
        <v>Khi cài phần mềm Office xuất hiện thông báo product key required.</v>
      </c>
      <c r="H332" t="str">
        <f>IFERROR(VLOOKUP(J332,Ngan_hang_cau_hoi!$I$2:$L$142,4,0),"")</f>
        <v/>
      </c>
      <c r="J332" t="str">
        <f>IF(VLOOKUP(D332,Ngan_hang_cau_hoi!$B$2:$K$142,8,0)=G332,G332,"")</f>
        <v/>
      </c>
      <c r="L332">
        <f t="shared" si="11"/>
        <v>2</v>
      </c>
    </row>
    <row r="333" spans="1:12" x14ac:dyDescent="0.25">
      <c r="A333">
        <v>331</v>
      </c>
      <c r="B333" t="str">
        <f>VLOOKUP(D333,Ngan_hang_cau_hoi!$B$2:$K$142,10,0)</f>
        <v>Chương 3 &amp; 4</v>
      </c>
      <c r="C333" t="str">
        <f>VLOOKUP(D333,Ngan_hang_cau_hoi!$B$2:$K$142,9,0)</f>
        <v>Trung bình</v>
      </c>
      <c r="D333">
        <f t="shared" si="10"/>
        <v>67</v>
      </c>
      <c r="F333" t="str">
        <f>IF(L333=2,COUNTIFS($L$1:L333,2,$B$1:B333,"Chương 3 &amp; 4"),"")</f>
        <v/>
      </c>
      <c r="G333" t="str">
        <f>VLOOKUP(D333,Ngan_hang_cau_hoi!$B$2:$K$142,L333,0)</f>
        <v>Đã có bản quyền</v>
      </c>
      <c r="H333" t="str">
        <f>IFERROR(VLOOKUP(J333,Ngan_hang_cau_hoi!$I$2:$L$142,4,0),"")</f>
        <v/>
      </c>
      <c r="J333" t="str">
        <f>IF(VLOOKUP(D333,Ngan_hang_cau_hoi!$B$2:$K$142,8,0)=G333,G333,"")</f>
        <v/>
      </c>
      <c r="L333">
        <f t="shared" si="11"/>
        <v>3</v>
      </c>
    </row>
    <row r="334" spans="1:12" x14ac:dyDescent="0.25">
      <c r="A334">
        <v>332</v>
      </c>
      <c r="B334" t="str">
        <f>VLOOKUP(D334,Ngan_hang_cau_hoi!$B$2:$K$142,10,0)</f>
        <v>Chương 3 &amp; 4</v>
      </c>
      <c r="C334" t="str">
        <f>VLOOKUP(D334,Ngan_hang_cau_hoi!$B$2:$K$142,9,0)</f>
        <v>Trung bình</v>
      </c>
      <c r="D334">
        <f t="shared" si="10"/>
        <v>67</v>
      </c>
      <c r="F334" t="str">
        <f>IF(L334=2,COUNTIFS($L$1:L334,2,$B$1:B334,"Chương 3 &amp; 4"),"")</f>
        <v/>
      </c>
      <c r="G334" t="str">
        <f>VLOOKUP(D334,Ngan_hang_cau_hoi!$B$2:$K$142,L334,0)</f>
        <v>Không đúng key bản quyền</v>
      </c>
      <c r="H334" t="str">
        <f>IFERROR(VLOOKUP(J334,Ngan_hang_cau_hoi!$I$2:$L$142,4,0),"")</f>
        <v/>
      </c>
      <c r="J334" t="str">
        <f>IF(VLOOKUP(D334,Ngan_hang_cau_hoi!$B$2:$K$142,8,0)=G334,G334,"")</f>
        <v/>
      </c>
      <c r="L334">
        <f t="shared" si="11"/>
        <v>4</v>
      </c>
    </row>
    <row r="335" spans="1:12" x14ac:dyDescent="0.25">
      <c r="A335">
        <v>333</v>
      </c>
      <c r="B335" t="str">
        <f>VLOOKUP(D335,Ngan_hang_cau_hoi!$B$2:$K$142,10,0)</f>
        <v>Chương 3 &amp; 4</v>
      </c>
      <c r="C335" t="str">
        <f>VLOOKUP(D335,Ngan_hang_cau_hoi!$B$2:$K$142,9,0)</f>
        <v>Trung bình</v>
      </c>
      <c r="D335">
        <f t="shared" si="10"/>
        <v>67</v>
      </c>
      <c r="F335" t="str">
        <f>IF(L335=2,COUNTIFS($L$1:L335,2,$B$1:B335,"Chương 3 &amp; 4"),"")</f>
        <v/>
      </c>
      <c r="G335" t="str">
        <f>VLOOKUP(D335,Ngan_hang_cau_hoi!$B$2:$K$142,L335,0)</f>
        <v>Cần kích hoạt bản quyền</v>
      </c>
      <c r="H335" t="str">
        <f>IFERROR(VLOOKUP(J335,Ngan_hang_cau_hoi!$I$2:$L$142,4,0),"")</f>
        <v>C</v>
      </c>
      <c r="J335" t="str">
        <f>IF(VLOOKUP(D335,Ngan_hang_cau_hoi!$B$2:$K$142,8,0)=G335,G335,"")</f>
        <v>Cần kích hoạt bản quyền</v>
      </c>
      <c r="L335">
        <f t="shared" si="11"/>
        <v>5</v>
      </c>
    </row>
    <row r="336" spans="1:12" x14ac:dyDescent="0.25">
      <c r="A336">
        <v>334</v>
      </c>
      <c r="B336" t="str">
        <f>VLOOKUP(D336,Ngan_hang_cau_hoi!$B$2:$K$142,10,0)</f>
        <v>Chương 3 &amp; 4</v>
      </c>
      <c r="C336" t="str">
        <f>VLOOKUP(D336,Ngan_hang_cau_hoi!$B$2:$K$142,9,0)</f>
        <v>Trung bình</v>
      </c>
      <c r="D336">
        <f t="shared" si="10"/>
        <v>67</v>
      </c>
      <c r="F336" t="str">
        <f>IF(L336=2,COUNTIFS($L$1:L336,2,$B$1:B336,"Chương 3 &amp; 4"),"")</f>
        <v/>
      </c>
      <c r="G336" t="str">
        <f>VLOOKUP(D336,Ngan_hang_cau_hoi!$B$2:$K$142,L336,0)</f>
        <v>Office bị lỗi</v>
      </c>
      <c r="H336" t="str">
        <f>IFERROR(VLOOKUP(J336,Ngan_hang_cau_hoi!$I$2:$L$142,4,0),"")</f>
        <v/>
      </c>
      <c r="J336" t="str">
        <f>IF(VLOOKUP(D336,Ngan_hang_cau_hoi!$B$2:$K$142,8,0)=G336,G336,"")</f>
        <v/>
      </c>
      <c r="L336">
        <f t="shared" si="11"/>
        <v>6</v>
      </c>
    </row>
    <row r="337" spans="1:12" x14ac:dyDescent="0.25">
      <c r="A337">
        <v>335</v>
      </c>
      <c r="B337" t="str">
        <f>VLOOKUP(D337,Ngan_hang_cau_hoi!$B$2:$K$142,10,0)</f>
        <v>Chương 3 &amp; 4</v>
      </c>
      <c r="C337" t="str">
        <f>VLOOKUP(D337,Ngan_hang_cau_hoi!$B$2:$K$142,9,0)</f>
        <v>Trung bình</v>
      </c>
      <c r="D337">
        <f t="shared" si="10"/>
        <v>68</v>
      </c>
      <c r="F337">
        <f>IF(L337=2,COUNTIFS($L$1:L337,2,$B$1:B337,"Chương 3 &amp; 4"),"")</f>
        <v>21</v>
      </c>
      <c r="G337" t="str">
        <f>VLOOKUP(D337,Ngan_hang_cau_hoi!$B$2:$K$142,L337,0)</f>
        <v>Hệ điều hành Windows hiển thị thông báo “Access Denied” khi cài phần mềm. Nguyên nhân:</v>
      </c>
      <c r="H337" t="str">
        <f>IFERROR(VLOOKUP(J337,Ngan_hang_cau_hoi!$I$2:$L$142,4,0),"")</f>
        <v/>
      </c>
      <c r="J337" t="str">
        <f>IF(VLOOKUP(D337,Ngan_hang_cau_hoi!$B$2:$K$142,8,0)=G337,G337,"")</f>
        <v/>
      </c>
      <c r="L337">
        <f t="shared" si="11"/>
        <v>2</v>
      </c>
    </row>
    <row r="338" spans="1:12" x14ac:dyDescent="0.25">
      <c r="A338">
        <v>336</v>
      </c>
      <c r="B338" t="str">
        <f>VLOOKUP(D338,Ngan_hang_cau_hoi!$B$2:$K$142,10,0)</f>
        <v>Chương 3 &amp; 4</v>
      </c>
      <c r="C338" t="str">
        <f>VLOOKUP(D338,Ngan_hang_cau_hoi!$B$2:$K$142,9,0)</f>
        <v>Trung bình</v>
      </c>
      <c r="D338">
        <f t="shared" si="10"/>
        <v>68</v>
      </c>
      <c r="F338" t="str">
        <f>IF(L338=2,COUNTIFS($L$1:L338,2,$B$1:B338,"Chương 3 &amp; 4"),"")</f>
        <v/>
      </c>
      <c r="G338" t="str">
        <f>VLOOKUP(D338,Ngan_hang_cau_hoi!$B$2:$K$142,L338,0)</f>
        <v>Thông báo RAM đầy</v>
      </c>
      <c r="H338" t="str">
        <f>IFERROR(VLOOKUP(J338,Ngan_hang_cau_hoi!$I$2:$L$142,4,0),"")</f>
        <v/>
      </c>
      <c r="J338" t="str">
        <f>IF(VLOOKUP(D338,Ngan_hang_cau_hoi!$B$2:$K$142,8,0)=G338,G338,"")</f>
        <v/>
      </c>
      <c r="L338">
        <f t="shared" si="11"/>
        <v>3</v>
      </c>
    </row>
    <row r="339" spans="1:12" x14ac:dyDescent="0.25">
      <c r="A339">
        <v>337</v>
      </c>
      <c r="B339" t="str">
        <f>VLOOKUP(D339,Ngan_hang_cau_hoi!$B$2:$K$142,10,0)</f>
        <v>Chương 3 &amp; 4</v>
      </c>
      <c r="C339" t="str">
        <f>VLOOKUP(D339,Ngan_hang_cau_hoi!$B$2:$K$142,9,0)</f>
        <v>Trung bình</v>
      </c>
      <c r="D339">
        <f t="shared" si="10"/>
        <v>68</v>
      </c>
      <c r="F339" t="str">
        <f>IF(L339=2,COUNTIFS($L$1:L339,2,$B$1:B339,"Chương 3 &amp; 4"),"")</f>
        <v/>
      </c>
      <c r="G339" t="str">
        <f>VLOOKUP(D339,Ngan_hang_cau_hoi!$B$2:$K$142,L339,0)</f>
        <v>Không có quyền Administrator</v>
      </c>
      <c r="H339" t="str">
        <f>IFERROR(VLOOKUP(J339,Ngan_hang_cau_hoi!$I$2:$L$142,4,0),"")</f>
        <v>B</v>
      </c>
      <c r="J339" t="str">
        <f>IF(VLOOKUP(D339,Ngan_hang_cau_hoi!$B$2:$K$142,8,0)=G339,G339,"")</f>
        <v>Không có quyền Administrator</v>
      </c>
      <c r="L339">
        <f t="shared" si="11"/>
        <v>4</v>
      </c>
    </row>
    <row r="340" spans="1:12" x14ac:dyDescent="0.25">
      <c r="A340">
        <v>338</v>
      </c>
      <c r="B340" t="str">
        <f>VLOOKUP(D340,Ngan_hang_cau_hoi!$B$2:$K$142,10,0)</f>
        <v>Chương 3 &amp; 4</v>
      </c>
      <c r="C340" t="str">
        <f>VLOOKUP(D340,Ngan_hang_cau_hoi!$B$2:$K$142,9,0)</f>
        <v>Trung bình</v>
      </c>
      <c r="D340">
        <f t="shared" si="10"/>
        <v>68</v>
      </c>
      <c r="F340" t="str">
        <f>IF(L340=2,COUNTIFS($L$1:L340,2,$B$1:B340,"Chương 3 &amp; 4"),"")</f>
        <v/>
      </c>
      <c r="G340" t="str">
        <f>VLOOKUP(D340,Ngan_hang_cau_hoi!$B$2:$K$142,L340,0)</f>
        <v>Sai key bản quyền</v>
      </c>
      <c r="H340" t="str">
        <f>IFERROR(VLOOKUP(J340,Ngan_hang_cau_hoi!$I$2:$L$142,4,0),"")</f>
        <v/>
      </c>
      <c r="J340" t="str">
        <f>IF(VLOOKUP(D340,Ngan_hang_cau_hoi!$B$2:$K$142,8,0)=G340,G340,"")</f>
        <v/>
      </c>
      <c r="L340">
        <f t="shared" si="11"/>
        <v>5</v>
      </c>
    </row>
    <row r="341" spans="1:12" x14ac:dyDescent="0.25">
      <c r="A341">
        <v>339</v>
      </c>
      <c r="B341" t="str">
        <f>VLOOKUP(D341,Ngan_hang_cau_hoi!$B$2:$K$142,10,0)</f>
        <v>Chương 3 &amp; 4</v>
      </c>
      <c r="C341" t="str">
        <f>VLOOKUP(D341,Ngan_hang_cau_hoi!$B$2:$K$142,9,0)</f>
        <v>Trung bình</v>
      </c>
      <c r="D341">
        <f t="shared" si="10"/>
        <v>68</v>
      </c>
      <c r="F341" t="str">
        <f>IF(L341=2,COUNTIFS($L$1:L341,2,$B$1:B341,"Chương 3 &amp; 4"),"")</f>
        <v/>
      </c>
      <c r="G341" t="str">
        <f>VLOOKUP(D341,Ngan_hang_cau_hoi!$B$2:$K$142,L341,0)</f>
        <v>Thông báo ổ cứng đầy</v>
      </c>
      <c r="H341" t="str">
        <f>IFERROR(VLOOKUP(J341,Ngan_hang_cau_hoi!$I$2:$L$142,4,0),"")</f>
        <v/>
      </c>
      <c r="J341" t="str">
        <f>IF(VLOOKUP(D341,Ngan_hang_cau_hoi!$B$2:$K$142,8,0)=G341,G341,"")</f>
        <v/>
      </c>
      <c r="L341">
        <f t="shared" si="11"/>
        <v>6</v>
      </c>
    </row>
    <row r="342" spans="1:12" x14ac:dyDescent="0.25">
      <c r="A342">
        <v>340</v>
      </c>
      <c r="B342" t="str">
        <f>VLOOKUP(D342,Ngan_hang_cau_hoi!$B$2:$K$142,10,0)</f>
        <v>Chương 3 &amp; 4</v>
      </c>
      <c r="C342" t="str">
        <f>VLOOKUP(D342,Ngan_hang_cau_hoi!$B$2:$K$142,9,0)</f>
        <v>Trung bình</v>
      </c>
      <c r="D342">
        <f t="shared" si="10"/>
        <v>69</v>
      </c>
      <c r="F342">
        <f>IF(L342=2,COUNTIFS($L$1:L342,2,$B$1:B342,"Chương 3 &amp; 4"),"")</f>
        <v>22</v>
      </c>
      <c r="G342" t="str">
        <f>VLOOKUP(D342,Ngan_hang_cau_hoi!$B$2:$K$142,L342,0)</f>
        <v>Hệ điều hành Windows báo lỗi “Windows cannot connect to this network”. Nguyên nhân có thể là:</v>
      </c>
      <c r="H342" t="str">
        <f>IFERROR(VLOOKUP(J342,Ngan_hang_cau_hoi!$I$2:$L$142,4,0),"")</f>
        <v/>
      </c>
      <c r="J342" t="str">
        <f>IF(VLOOKUP(D342,Ngan_hang_cau_hoi!$B$2:$K$142,8,0)=G342,G342,"")</f>
        <v/>
      </c>
      <c r="L342">
        <f t="shared" si="11"/>
        <v>2</v>
      </c>
    </row>
    <row r="343" spans="1:12" x14ac:dyDescent="0.25">
      <c r="A343">
        <v>341</v>
      </c>
      <c r="B343" t="str">
        <f>VLOOKUP(D343,Ngan_hang_cau_hoi!$B$2:$K$142,10,0)</f>
        <v>Chương 3 &amp; 4</v>
      </c>
      <c r="C343" t="str">
        <f>VLOOKUP(D343,Ngan_hang_cau_hoi!$B$2:$K$142,9,0)</f>
        <v>Trung bình</v>
      </c>
      <c r="D343">
        <f t="shared" si="10"/>
        <v>69</v>
      </c>
      <c r="F343" t="str">
        <f>IF(L343=2,COUNTIFS($L$1:L343,2,$B$1:B343,"Chương 3 &amp; 4"),"")</f>
        <v/>
      </c>
      <c r="G343" t="str">
        <f>VLOOKUP(D343,Ngan_hang_cau_hoi!$B$2:$K$142,L343,0)</f>
        <v>Giao tiếp mạng lỗi</v>
      </c>
      <c r="H343" t="str">
        <f>IFERROR(VLOOKUP(J343,Ngan_hang_cau_hoi!$I$2:$L$142,4,0),"")</f>
        <v>A</v>
      </c>
      <c r="J343" t="str">
        <f>IF(VLOOKUP(D343,Ngan_hang_cau_hoi!$B$2:$K$142,8,0)=G343,G343,"")</f>
        <v>Giao tiếp mạng lỗi</v>
      </c>
      <c r="L343">
        <f t="shared" si="11"/>
        <v>3</v>
      </c>
    </row>
    <row r="344" spans="1:12" x14ac:dyDescent="0.25">
      <c r="A344">
        <v>342</v>
      </c>
      <c r="B344" t="str">
        <f>VLOOKUP(D344,Ngan_hang_cau_hoi!$B$2:$K$142,10,0)</f>
        <v>Chương 3 &amp; 4</v>
      </c>
      <c r="C344" t="str">
        <f>VLOOKUP(D344,Ngan_hang_cau_hoi!$B$2:$K$142,9,0)</f>
        <v>Trung bình</v>
      </c>
      <c r="D344">
        <f t="shared" si="10"/>
        <v>69</v>
      </c>
      <c r="F344" t="str">
        <f>IF(L344=2,COUNTIFS($L$1:L344,2,$B$1:B344,"Chương 3 &amp; 4"),"")</f>
        <v/>
      </c>
      <c r="G344" t="str">
        <f>VLOOKUP(D344,Ngan_hang_cau_hoi!$B$2:$K$142,L344,0)</f>
        <v>Quá nhiệt CPU hoặc lỗi phần cứng</v>
      </c>
      <c r="H344" t="str">
        <f>IFERROR(VLOOKUP(J344,Ngan_hang_cau_hoi!$I$2:$L$142,4,0),"")</f>
        <v/>
      </c>
      <c r="J344" t="str">
        <f>IF(VLOOKUP(D344,Ngan_hang_cau_hoi!$B$2:$K$142,8,0)=G344,G344,"")</f>
        <v/>
      </c>
      <c r="L344">
        <f t="shared" si="11"/>
        <v>4</v>
      </c>
    </row>
    <row r="345" spans="1:12" x14ac:dyDescent="0.25">
      <c r="A345">
        <v>343</v>
      </c>
      <c r="B345" t="str">
        <f>VLOOKUP(D345,Ngan_hang_cau_hoi!$B$2:$K$142,10,0)</f>
        <v>Chương 3 &amp; 4</v>
      </c>
      <c r="C345" t="str">
        <f>VLOOKUP(D345,Ngan_hang_cau_hoi!$B$2:$K$142,9,0)</f>
        <v>Trung bình</v>
      </c>
      <c r="D345">
        <f t="shared" si="10"/>
        <v>69</v>
      </c>
      <c r="F345" t="str">
        <f>IF(L345=2,COUNTIFS($L$1:L345,2,$B$1:B345,"Chương 3 &amp; 4"),"")</f>
        <v/>
      </c>
      <c r="G345" t="str">
        <f>VLOOKUP(D345,Ngan_hang_cau_hoi!$B$2:$K$142,L345,0)</f>
        <v>RAM gần đầy</v>
      </c>
      <c r="H345" t="str">
        <f>IFERROR(VLOOKUP(J345,Ngan_hang_cau_hoi!$I$2:$L$142,4,0),"")</f>
        <v/>
      </c>
      <c r="J345" t="str">
        <f>IF(VLOOKUP(D345,Ngan_hang_cau_hoi!$B$2:$K$142,8,0)=G345,G345,"")</f>
        <v/>
      </c>
      <c r="L345">
        <f t="shared" si="11"/>
        <v>5</v>
      </c>
    </row>
    <row r="346" spans="1:12" x14ac:dyDescent="0.25">
      <c r="A346">
        <v>344</v>
      </c>
      <c r="B346" t="str">
        <f>VLOOKUP(D346,Ngan_hang_cau_hoi!$B$2:$K$142,10,0)</f>
        <v>Chương 3 &amp; 4</v>
      </c>
      <c r="C346" t="str">
        <f>VLOOKUP(D346,Ngan_hang_cau_hoi!$B$2:$K$142,9,0)</f>
        <v>Trung bình</v>
      </c>
      <c r="D346">
        <f t="shared" si="10"/>
        <v>69</v>
      </c>
      <c r="F346" t="str">
        <f>IF(L346=2,COUNTIFS($L$1:L346,2,$B$1:B346,"Chương 3 &amp; 4"),"")</f>
        <v/>
      </c>
      <c r="G346" t="str">
        <f>VLOOKUP(D346,Ngan_hang_cau_hoi!$B$2:$K$142,L346,0)</f>
        <v>Không có quyền Administrator</v>
      </c>
      <c r="H346" t="str">
        <f>IFERROR(VLOOKUP(J346,Ngan_hang_cau_hoi!$I$2:$L$142,4,0),"")</f>
        <v/>
      </c>
      <c r="J346" t="str">
        <f>IF(VLOOKUP(D346,Ngan_hang_cau_hoi!$B$2:$K$142,8,0)=G346,G346,"")</f>
        <v/>
      </c>
      <c r="L346">
        <f t="shared" si="11"/>
        <v>6</v>
      </c>
    </row>
    <row r="347" spans="1:12" x14ac:dyDescent="0.25">
      <c r="A347">
        <v>345</v>
      </c>
      <c r="B347" t="str">
        <f>VLOOKUP(D347,Ngan_hang_cau_hoi!$B$2:$K$142,10,0)</f>
        <v>Chương 3 &amp; 4</v>
      </c>
      <c r="C347" t="str">
        <f>VLOOKUP(D347,Ngan_hang_cau_hoi!$B$2:$K$142,9,0)</f>
        <v>Trung bình</v>
      </c>
      <c r="D347">
        <f t="shared" si="10"/>
        <v>70</v>
      </c>
      <c r="F347">
        <f>IF(L347=2,COUNTIFS($L$1:L347,2,$B$1:B347,"Chương 3 &amp; 4"),"")</f>
        <v>23</v>
      </c>
      <c r="G347" t="str">
        <f>VLOOKUP(D347,Ngan_hang_cau_hoi!$B$2:$K$142,L347,0)</f>
        <v>Hệ điều hành Windows báo lỗi “Low Disk Space”. Điều này nghĩa là:</v>
      </c>
      <c r="H347" t="str">
        <f>IFERROR(VLOOKUP(J347,Ngan_hang_cau_hoi!$I$2:$L$142,4,0),"")</f>
        <v/>
      </c>
      <c r="J347" t="str">
        <f>IF(VLOOKUP(D347,Ngan_hang_cau_hoi!$B$2:$K$142,8,0)=G347,G347,"")</f>
        <v/>
      </c>
      <c r="L347">
        <f t="shared" si="11"/>
        <v>2</v>
      </c>
    </row>
    <row r="348" spans="1:12" x14ac:dyDescent="0.25">
      <c r="A348">
        <v>346</v>
      </c>
      <c r="B348" t="str">
        <f>VLOOKUP(D348,Ngan_hang_cau_hoi!$B$2:$K$142,10,0)</f>
        <v>Chương 3 &amp; 4</v>
      </c>
      <c r="C348" t="str">
        <f>VLOOKUP(D348,Ngan_hang_cau_hoi!$B$2:$K$142,9,0)</f>
        <v>Trung bình</v>
      </c>
      <c r="D348">
        <f t="shared" si="10"/>
        <v>70</v>
      </c>
      <c r="F348" t="str">
        <f>IF(L348=2,COUNTIFS($L$1:L348,2,$B$1:B348,"Chương 3 &amp; 4"),"")</f>
        <v/>
      </c>
      <c r="G348" t="str">
        <f>VLOOKUP(D348,Ngan_hang_cau_hoi!$B$2:$K$142,L348,0)</f>
        <v>Ổ cứng gần đầy</v>
      </c>
      <c r="H348" t="str">
        <f>IFERROR(VLOOKUP(J348,Ngan_hang_cau_hoi!$I$2:$L$142,4,0),"")</f>
        <v>A</v>
      </c>
      <c r="J348" t="str">
        <f>IF(VLOOKUP(D348,Ngan_hang_cau_hoi!$B$2:$K$142,8,0)=G348,G348,"")</f>
        <v>Ổ cứng gần đầy</v>
      </c>
      <c r="L348">
        <f t="shared" si="11"/>
        <v>3</v>
      </c>
    </row>
    <row r="349" spans="1:12" x14ac:dyDescent="0.25">
      <c r="A349">
        <v>347</v>
      </c>
      <c r="B349" t="str">
        <f>VLOOKUP(D349,Ngan_hang_cau_hoi!$B$2:$K$142,10,0)</f>
        <v>Chương 3 &amp; 4</v>
      </c>
      <c r="C349" t="str">
        <f>VLOOKUP(D349,Ngan_hang_cau_hoi!$B$2:$K$142,9,0)</f>
        <v>Trung bình</v>
      </c>
      <c r="D349">
        <f t="shared" si="10"/>
        <v>70</v>
      </c>
      <c r="F349" t="str">
        <f>IF(L349=2,COUNTIFS($L$1:L349,2,$B$1:B349,"Chương 3 &amp; 4"),"")</f>
        <v/>
      </c>
      <c r="G349" t="str">
        <f>VLOOKUP(D349,Ngan_hang_cau_hoi!$B$2:$K$142,L349,0)</f>
        <v>Không nhận ổ cứng</v>
      </c>
      <c r="H349" t="str">
        <f>IFERROR(VLOOKUP(J349,Ngan_hang_cau_hoi!$I$2:$L$142,4,0),"")</f>
        <v/>
      </c>
      <c r="J349" t="str">
        <f>IF(VLOOKUP(D349,Ngan_hang_cau_hoi!$B$2:$K$142,8,0)=G349,G349,"")</f>
        <v/>
      </c>
      <c r="L349">
        <f t="shared" si="11"/>
        <v>4</v>
      </c>
    </row>
    <row r="350" spans="1:12" x14ac:dyDescent="0.25">
      <c r="A350">
        <v>348</v>
      </c>
      <c r="B350" t="str">
        <f>VLOOKUP(D350,Ngan_hang_cau_hoi!$B$2:$K$142,10,0)</f>
        <v>Chương 3 &amp; 4</v>
      </c>
      <c r="C350" t="str">
        <f>VLOOKUP(D350,Ngan_hang_cau_hoi!$B$2:$K$142,9,0)</f>
        <v>Trung bình</v>
      </c>
      <c r="D350">
        <f t="shared" si="10"/>
        <v>70</v>
      </c>
      <c r="F350" t="str">
        <f>IF(L350=2,COUNTIFS($L$1:L350,2,$B$1:B350,"Chương 3 &amp; 4"),"")</f>
        <v/>
      </c>
      <c r="G350" t="str">
        <f>VLOOKUP(D350,Ngan_hang_cau_hoi!$B$2:$K$142,L350,0)</f>
        <v>Lỗi ổ cứng</v>
      </c>
      <c r="H350" t="str">
        <f>IFERROR(VLOOKUP(J350,Ngan_hang_cau_hoi!$I$2:$L$142,4,0),"")</f>
        <v/>
      </c>
      <c r="J350" t="str">
        <f>IF(VLOOKUP(D350,Ngan_hang_cau_hoi!$B$2:$K$142,8,0)=G350,G350,"")</f>
        <v/>
      </c>
      <c r="L350">
        <f t="shared" si="11"/>
        <v>5</v>
      </c>
    </row>
    <row r="351" spans="1:12" x14ac:dyDescent="0.25">
      <c r="A351">
        <v>349</v>
      </c>
      <c r="B351" t="str">
        <f>VLOOKUP(D351,Ngan_hang_cau_hoi!$B$2:$K$142,10,0)</f>
        <v>Chương 3 &amp; 4</v>
      </c>
      <c r="C351" t="str">
        <f>VLOOKUP(D351,Ngan_hang_cau_hoi!$B$2:$K$142,9,0)</f>
        <v>Trung bình</v>
      </c>
      <c r="D351">
        <f t="shared" si="10"/>
        <v>70</v>
      </c>
      <c r="F351" t="str">
        <f>IF(L351=2,COUNTIFS($L$1:L351,2,$B$1:B351,"Chương 3 &amp; 4"),"")</f>
        <v/>
      </c>
      <c r="G351" t="str">
        <f>VLOOKUP(D351,Ngan_hang_cau_hoi!$B$2:$K$142,L351,0)</f>
        <v>CPU gần đầy</v>
      </c>
      <c r="H351" t="str">
        <f>IFERROR(VLOOKUP(J351,Ngan_hang_cau_hoi!$I$2:$L$142,4,0),"")</f>
        <v/>
      </c>
      <c r="J351" t="str">
        <f>IF(VLOOKUP(D351,Ngan_hang_cau_hoi!$B$2:$K$142,8,0)=G351,G351,"")</f>
        <v/>
      </c>
      <c r="L351">
        <f t="shared" si="11"/>
        <v>6</v>
      </c>
    </row>
    <row r="352" spans="1:12" x14ac:dyDescent="0.25">
      <c r="A352">
        <v>350</v>
      </c>
      <c r="B352" t="str">
        <f>VLOOKUP(D352,Ngan_hang_cau_hoi!$B$2:$K$142,10,0)</f>
        <v>Chương 3 &amp; 4</v>
      </c>
      <c r="C352" t="str">
        <f>VLOOKUP(D352,Ngan_hang_cau_hoi!$B$2:$K$142,9,0)</f>
        <v>Trung bình</v>
      </c>
      <c r="D352">
        <f t="shared" si="10"/>
        <v>71</v>
      </c>
      <c r="F352">
        <f>IF(L352=2,COUNTIFS($L$1:L352,2,$B$1:B352,"Chương 3 &amp; 4"),"")</f>
        <v>24</v>
      </c>
      <c r="G352" t="str">
        <f>VLOOKUP(D352,Ngan_hang_cau_hoi!$B$2:$K$142,L352,0)</f>
        <v>File sao lưu của Acronis True Image có định dạng:</v>
      </c>
      <c r="H352" t="str">
        <f>IFERROR(VLOOKUP(J352,Ngan_hang_cau_hoi!$I$2:$L$142,4,0),"")</f>
        <v/>
      </c>
      <c r="J352" t="str">
        <f>IF(VLOOKUP(D352,Ngan_hang_cau_hoi!$B$2:$K$142,8,0)=G352,G352,"")</f>
        <v/>
      </c>
      <c r="L352">
        <f t="shared" si="11"/>
        <v>2</v>
      </c>
    </row>
    <row r="353" spans="1:12" x14ac:dyDescent="0.25">
      <c r="A353">
        <v>351</v>
      </c>
      <c r="B353" t="str">
        <f>VLOOKUP(D353,Ngan_hang_cau_hoi!$B$2:$K$142,10,0)</f>
        <v>Chương 3 &amp; 4</v>
      </c>
      <c r="C353" t="str">
        <f>VLOOKUP(D353,Ngan_hang_cau_hoi!$B$2:$K$142,9,0)</f>
        <v>Trung bình</v>
      </c>
      <c r="D353">
        <f t="shared" si="10"/>
        <v>71</v>
      </c>
      <c r="F353" t="str">
        <f>IF(L353=2,COUNTIFS($L$1:L353,2,$B$1:B353,"Chương 3 &amp; 4"),"")</f>
        <v/>
      </c>
      <c r="G353" t="str">
        <f>VLOOKUP(D353,Ngan_hang_cau_hoi!$B$2:$K$142,L353,0)</f>
        <v>.iso</v>
      </c>
      <c r="H353" t="str">
        <f>IFERROR(VLOOKUP(J353,Ngan_hang_cau_hoi!$I$2:$L$142,4,0),"")</f>
        <v/>
      </c>
      <c r="J353" t="str">
        <f>IF(VLOOKUP(D353,Ngan_hang_cau_hoi!$B$2:$K$142,8,0)=G353,G353,"")</f>
        <v/>
      </c>
      <c r="L353">
        <f t="shared" si="11"/>
        <v>3</v>
      </c>
    </row>
    <row r="354" spans="1:12" x14ac:dyDescent="0.25">
      <c r="A354">
        <v>352</v>
      </c>
      <c r="B354" t="str">
        <f>VLOOKUP(D354,Ngan_hang_cau_hoi!$B$2:$K$142,10,0)</f>
        <v>Chương 3 &amp; 4</v>
      </c>
      <c r="C354" t="str">
        <f>VLOOKUP(D354,Ngan_hang_cau_hoi!$B$2:$K$142,9,0)</f>
        <v>Trung bình</v>
      </c>
      <c r="D354">
        <f t="shared" si="10"/>
        <v>71</v>
      </c>
      <c r="F354" t="str">
        <f>IF(L354=2,COUNTIFS($L$1:L354,2,$B$1:B354,"Chương 3 &amp; 4"),"")</f>
        <v/>
      </c>
      <c r="G354" t="str">
        <f>VLOOKUP(D354,Ngan_hang_cau_hoi!$B$2:$K$142,L354,0)</f>
        <v>.gho</v>
      </c>
      <c r="H354" t="str">
        <f>IFERROR(VLOOKUP(J354,Ngan_hang_cau_hoi!$I$2:$L$142,4,0),"")</f>
        <v/>
      </c>
      <c r="J354" t="str">
        <f>IF(VLOOKUP(D354,Ngan_hang_cau_hoi!$B$2:$K$142,8,0)=G354,G354,"")</f>
        <v/>
      </c>
      <c r="L354">
        <f t="shared" si="11"/>
        <v>4</v>
      </c>
    </row>
    <row r="355" spans="1:12" x14ac:dyDescent="0.25">
      <c r="A355">
        <v>353</v>
      </c>
      <c r="B355" t="str">
        <f>VLOOKUP(D355,Ngan_hang_cau_hoi!$B$2:$K$142,10,0)</f>
        <v>Chương 3 &amp; 4</v>
      </c>
      <c r="C355" t="str">
        <f>VLOOKUP(D355,Ngan_hang_cau_hoi!$B$2:$K$142,9,0)</f>
        <v>Trung bình</v>
      </c>
      <c r="D355">
        <f t="shared" si="10"/>
        <v>71</v>
      </c>
      <c r="F355" t="str">
        <f>IF(L355=2,COUNTIFS($L$1:L355,2,$B$1:B355,"Chương 3 &amp; 4"),"")</f>
        <v/>
      </c>
      <c r="G355" t="str">
        <f>VLOOKUP(D355,Ngan_hang_cau_hoi!$B$2:$K$142,L355,0)</f>
        <v>.tib</v>
      </c>
      <c r="H355" t="str">
        <f>IFERROR(VLOOKUP(J355,Ngan_hang_cau_hoi!$I$2:$L$142,4,0),"")</f>
        <v>C</v>
      </c>
      <c r="J355" t="str">
        <f>IF(VLOOKUP(D355,Ngan_hang_cau_hoi!$B$2:$K$142,8,0)=G355,G355,"")</f>
        <v>.tib</v>
      </c>
      <c r="L355">
        <f t="shared" si="11"/>
        <v>5</v>
      </c>
    </row>
    <row r="356" spans="1:12" x14ac:dyDescent="0.25">
      <c r="A356">
        <v>354</v>
      </c>
      <c r="B356" t="str">
        <f>VLOOKUP(D356,Ngan_hang_cau_hoi!$B$2:$K$142,10,0)</f>
        <v>Chương 3 &amp; 4</v>
      </c>
      <c r="C356" t="str">
        <f>VLOOKUP(D356,Ngan_hang_cau_hoi!$B$2:$K$142,9,0)</f>
        <v>Trung bình</v>
      </c>
      <c r="D356">
        <f t="shared" si="10"/>
        <v>71</v>
      </c>
      <c r="F356" t="str">
        <f>IF(L356=2,COUNTIFS($L$1:L356,2,$B$1:B356,"Chương 3 &amp; 4"),"")</f>
        <v/>
      </c>
      <c r="G356" t="str">
        <f>VLOOKUP(D356,Ngan_hang_cau_hoi!$B$2:$K$142,L356,0)</f>
        <v>.img</v>
      </c>
      <c r="H356" t="str">
        <f>IFERROR(VLOOKUP(J356,Ngan_hang_cau_hoi!$I$2:$L$142,4,0),"")</f>
        <v/>
      </c>
      <c r="J356" t="str">
        <f>IF(VLOOKUP(D356,Ngan_hang_cau_hoi!$B$2:$K$142,8,0)=G356,G356,"")</f>
        <v/>
      </c>
      <c r="L356">
        <f t="shared" si="11"/>
        <v>6</v>
      </c>
    </row>
    <row r="357" spans="1:12" x14ac:dyDescent="0.25">
      <c r="A357">
        <v>355</v>
      </c>
      <c r="B357" t="str">
        <f>VLOOKUP(D357,Ngan_hang_cau_hoi!$B$2:$K$142,10,0)</f>
        <v>Chương 3 &amp; 4</v>
      </c>
      <c r="C357" t="str">
        <f>VLOOKUP(D357,Ngan_hang_cau_hoi!$B$2:$K$142,9,0)</f>
        <v>Trung bình</v>
      </c>
      <c r="D357">
        <f t="shared" si="10"/>
        <v>72</v>
      </c>
      <c r="F357">
        <f>IF(L357=2,COUNTIFS($L$1:L357,2,$B$1:B357,"Chương 3 &amp; 4"),"")</f>
        <v>25</v>
      </c>
      <c r="G357" t="str">
        <f>VLOOKUP(D357,Ngan_hang_cau_hoi!$B$2:$K$142,L357,0)</f>
        <v>Định dạng USB phổ biến để tạo USB boot Windows là:</v>
      </c>
      <c r="H357" t="str">
        <f>IFERROR(VLOOKUP(J357,Ngan_hang_cau_hoi!$I$2:$L$142,4,0),"")</f>
        <v/>
      </c>
      <c r="J357" t="str">
        <f>IF(VLOOKUP(D357,Ngan_hang_cau_hoi!$B$2:$K$142,8,0)=G357,G357,"")</f>
        <v/>
      </c>
      <c r="L357">
        <f t="shared" si="11"/>
        <v>2</v>
      </c>
    </row>
    <row r="358" spans="1:12" x14ac:dyDescent="0.25">
      <c r="A358">
        <v>356</v>
      </c>
      <c r="B358" t="str">
        <f>VLOOKUP(D358,Ngan_hang_cau_hoi!$B$2:$K$142,10,0)</f>
        <v>Chương 3 &amp; 4</v>
      </c>
      <c r="C358" t="str">
        <f>VLOOKUP(D358,Ngan_hang_cau_hoi!$B$2:$K$142,9,0)</f>
        <v>Trung bình</v>
      </c>
      <c r="D358">
        <f t="shared" si="10"/>
        <v>72</v>
      </c>
      <c r="F358" t="str">
        <f>IF(L358=2,COUNTIFS($L$1:L358,2,$B$1:B358,"Chương 3 &amp; 4"),"")</f>
        <v/>
      </c>
      <c r="G358" t="str">
        <f>VLOOKUP(D358,Ngan_hang_cau_hoi!$B$2:$K$142,L358,0)</f>
        <v>GPT</v>
      </c>
      <c r="H358" t="str">
        <f>IFERROR(VLOOKUP(J358,Ngan_hang_cau_hoi!$I$2:$L$142,4,0),"")</f>
        <v/>
      </c>
      <c r="J358" t="str">
        <f>IF(VLOOKUP(D358,Ngan_hang_cau_hoi!$B$2:$K$142,8,0)=G358,G358,"")</f>
        <v/>
      </c>
      <c r="L358">
        <f t="shared" si="11"/>
        <v>3</v>
      </c>
    </row>
    <row r="359" spans="1:12" x14ac:dyDescent="0.25">
      <c r="A359">
        <v>357</v>
      </c>
      <c r="B359" t="str">
        <f>VLOOKUP(D359,Ngan_hang_cau_hoi!$B$2:$K$142,10,0)</f>
        <v>Chương 3 &amp; 4</v>
      </c>
      <c r="C359" t="str">
        <f>VLOOKUP(D359,Ngan_hang_cau_hoi!$B$2:$K$142,9,0)</f>
        <v>Trung bình</v>
      </c>
      <c r="D359">
        <f t="shared" si="10"/>
        <v>72</v>
      </c>
      <c r="F359" t="str">
        <f>IF(L359=2,COUNTIFS($L$1:L359,2,$B$1:B359,"Chương 3 &amp; 4"),"")</f>
        <v/>
      </c>
      <c r="G359" t="str">
        <f>VLOOKUP(D359,Ngan_hang_cau_hoi!$B$2:$K$142,L359,0)</f>
        <v>FAT32</v>
      </c>
      <c r="H359" t="str">
        <f>IFERROR(VLOOKUP(J359,Ngan_hang_cau_hoi!$I$2:$L$142,4,0),"")</f>
        <v>B</v>
      </c>
      <c r="J359" t="str">
        <f>IF(VLOOKUP(D359,Ngan_hang_cau_hoi!$B$2:$K$142,8,0)=G359,G359,"")</f>
        <v>FAT32</v>
      </c>
      <c r="L359">
        <f t="shared" si="11"/>
        <v>4</v>
      </c>
    </row>
    <row r="360" spans="1:12" x14ac:dyDescent="0.25">
      <c r="A360">
        <v>358</v>
      </c>
      <c r="B360" t="str">
        <f>VLOOKUP(D360,Ngan_hang_cau_hoi!$B$2:$K$142,10,0)</f>
        <v>Chương 3 &amp; 4</v>
      </c>
      <c r="C360" t="str">
        <f>VLOOKUP(D360,Ngan_hang_cau_hoi!$B$2:$K$142,9,0)</f>
        <v>Trung bình</v>
      </c>
      <c r="D360">
        <f t="shared" si="10"/>
        <v>72</v>
      </c>
      <c r="F360" t="str">
        <f>IF(L360=2,COUNTIFS($L$1:L360,2,$B$1:B360,"Chương 3 &amp; 4"),"")</f>
        <v/>
      </c>
      <c r="G360" t="str">
        <f>VLOOKUP(D360,Ngan_hang_cau_hoi!$B$2:$K$142,L360,0)</f>
        <v>FAT16</v>
      </c>
      <c r="H360" t="str">
        <f>IFERROR(VLOOKUP(J360,Ngan_hang_cau_hoi!$I$2:$L$142,4,0),"")</f>
        <v/>
      </c>
      <c r="J360" t="str">
        <f>IF(VLOOKUP(D360,Ngan_hang_cau_hoi!$B$2:$K$142,8,0)=G360,G360,"")</f>
        <v/>
      </c>
      <c r="L360">
        <f t="shared" si="11"/>
        <v>5</v>
      </c>
    </row>
    <row r="361" spans="1:12" x14ac:dyDescent="0.25">
      <c r="A361">
        <v>359</v>
      </c>
      <c r="B361" t="str">
        <f>VLOOKUP(D361,Ngan_hang_cau_hoi!$B$2:$K$142,10,0)</f>
        <v>Chương 3 &amp; 4</v>
      </c>
      <c r="C361" t="str">
        <f>VLOOKUP(D361,Ngan_hang_cau_hoi!$B$2:$K$142,9,0)</f>
        <v>Trung bình</v>
      </c>
      <c r="D361">
        <f t="shared" si="10"/>
        <v>72</v>
      </c>
      <c r="F361" t="str">
        <f>IF(L361=2,COUNTIFS($L$1:L361,2,$B$1:B361,"Chương 3 &amp; 4"),"")</f>
        <v/>
      </c>
      <c r="G361" t="str">
        <f>VLOOKUP(D361,Ngan_hang_cau_hoi!$B$2:$K$142,L361,0)</f>
        <v>exFAT</v>
      </c>
      <c r="H361" t="str">
        <f>IFERROR(VLOOKUP(J361,Ngan_hang_cau_hoi!$I$2:$L$142,4,0),"")</f>
        <v/>
      </c>
      <c r="J361" t="str">
        <f>IF(VLOOKUP(D361,Ngan_hang_cau_hoi!$B$2:$K$142,8,0)=G361,G361,"")</f>
        <v/>
      </c>
      <c r="L361">
        <f t="shared" si="11"/>
        <v>6</v>
      </c>
    </row>
    <row r="362" spans="1:12" x14ac:dyDescent="0.25">
      <c r="A362">
        <v>360</v>
      </c>
      <c r="B362" t="str">
        <f>VLOOKUP(D362,Ngan_hang_cau_hoi!$B$2:$K$142,10,0)</f>
        <v>Chương 3 &amp; 4</v>
      </c>
      <c r="C362" t="str">
        <f>VLOOKUP(D362,Ngan_hang_cau_hoi!$B$2:$K$142,9,0)</f>
        <v>Trung bình</v>
      </c>
      <c r="D362">
        <f t="shared" si="10"/>
        <v>73</v>
      </c>
      <c r="F362">
        <f>IF(L362=2,COUNTIFS($L$1:L362,2,$B$1:B362,"Chương 3 &amp; 4"),"")</f>
        <v>26</v>
      </c>
      <c r="G362" t="str">
        <f>VLOOKUP(D362,Ngan_hang_cau_hoi!$B$2:$K$142,L362,0)</f>
        <v>Để ghost lại hệ điều hành từ file .gho, chọn:</v>
      </c>
      <c r="H362" t="str">
        <f>IFERROR(VLOOKUP(J362,Ngan_hang_cau_hoi!$I$2:$L$142,4,0),"")</f>
        <v/>
      </c>
      <c r="J362" t="str">
        <f>IF(VLOOKUP(D362,Ngan_hang_cau_hoi!$B$2:$K$142,8,0)=G362,G362,"")</f>
        <v/>
      </c>
      <c r="L362">
        <f t="shared" si="11"/>
        <v>2</v>
      </c>
    </row>
    <row r="363" spans="1:12" x14ac:dyDescent="0.25">
      <c r="A363">
        <v>361</v>
      </c>
      <c r="B363" t="str">
        <f>VLOOKUP(D363,Ngan_hang_cau_hoi!$B$2:$K$142,10,0)</f>
        <v>Chương 3 &amp; 4</v>
      </c>
      <c r="C363" t="str">
        <f>VLOOKUP(D363,Ngan_hang_cau_hoi!$B$2:$K$142,9,0)</f>
        <v>Trung bình</v>
      </c>
      <c r="D363">
        <f t="shared" si="10"/>
        <v>73</v>
      </c>
      <c r="F363" t="str">
        <f>IF(L363=2,COUNTIFS($L$1:L363,2,$B$1:B363,"Chương 3 &amp; 4"),"")</f>
        <v/>
      </c>
      <c r="G363" t="str">
        <f>VLOOKUP(D363,Ngan_hang_cau_hoi!$B$2:$K$142,L363,0)</f>
        <v>Disk to Image</v>
      </c>
      <c r="H363" t="str">
        <f>IFERROR(VLOOKUP(J363,Ngan_hang_cau_hoi!$I$2:$L$142,4,0),"")</f>
        <v/>
      </c>
      <c r="J363" t="str">
        <f>IF(VLOOKUP(D363,Ngan_hang_cau_hoi!$B$2:$K$142,8,0)=G363,G363,"")</f>
        <v/>
      </c>
      <c r="L363">
        <f t="shared" si="11"/>
        <v>3</v>
      </c>
    </row>
    <row r="364" spans="1:12" x14ac:dyDescent="0.25">
      <c r="A364">
        <v>362</v>
      </c>
      <c r="B364" t="str">
        <f>VLOOKUP(D364,Ngan_hang_cau_hoi!$B$2:$K$142,10,0)</f>
        <v>Chương 3 &amp; 4</v>
      </c>
      <c r="C364" t="str">
        <f>VLOOKUP(D364,Ngan_hang_cau_hoi!$B$2:$K$142,9,0)</f>
        <v>Trung bình</v>
      </c>
      <c r="D364">
        <f t="shared" si="10"/>
        <v>73</v>
      </c>
      <c r="F364" t="str">
        <f>IF(L364=2,COUNTIFS($L$1:L364,2,$B$1:B364,"Chương 3 &amp; 4"),"")</f>
        <v/>
      </c>
      <c r="G364" t="str">
        <f>VLOOKUP(D364,Ngan_hang_cau_hoi!$B$2:$K$142,L364,0)</f>
        <v>Partition to Image</v>
      </c>
      <c r="H364" t="str">
        <f>IFERROR(VLOOKUP(J364,Ngan_hang_cau_hoi!$I$2:$L$142,4,0),"")</f>
        <v/>
      </c>
      <c r="J364" t="str">
        <f>IF(VLOOKUP(D364,Ngan_hang_cau_hoi!$B$2:$K$142,8,0)=G364,G364,"")</f>
        <v/>
      </c>
      <c r="L364">
        <f t="shared" si="11"/>
        <v>4</v>
      </c>
    </row>
    <row r="365" spans="1:12" x14ac:dyDescent="0.25">
      <c r="A365">
        <v>363</v>
      </c>
      <c r="B365" t="str">
        <f>VLOOKUP(D365,Ngan_hang_cau_hoi!$B$2:$K$142,10,0)</f>
        <v>Chương 3 &amp; 4</v>
      </c>
      <c r="C365" t="str">
        <f>VLOOKUP(D365,Ngan_hang_cau_hoi!$B$2:$K$142,9,0)</f>
        <v>Trung bình</v>
      </c>
      <c r="D365">
        <f t="shared" si="10"/>
        <v>73</v>
      </c>
      <c r="F365" t="str">
        <f>IF(L365=2,COUNTIFS($L$1:L365,2,$B$1:B365,"Chương 3 &amp; 4"),"")</f>
        <v/>
      </c>
      <c r="G365" t="str">
        <f>VLOOKUP(D365,Ngan_hang_cau_hoi!$B$2:$K$142,L365,0)</f>
        <v>Image to Partition</v>
      </c>
      <c r="H365" t="str">
        <f>IFERROR(VLOOKUP(J365,Ngan_hang_cau_hoi!$I$2:$L$142,4,0),"")</f>
        <v>C</v>
      </c>
      <c r="J365" t="str">
        <f>IF(VLOOKUP(D365,Ngan_hang_cau_hoi!$B$2:$K$142,8,0)=G365,G365,"")</f>
        <v>Image to Partition</v>
      </c>
      <c r="L365">
        <f t="shared" si="11"/>
        <v>5</v>
      </c>
    </row>
    <row r="366" spans="1:12" x14ac:dyDescent="0.25">
      <c r="A366">
        <v>364</v>
      </c>
      <c r="B366" t="str">
        <f>VLOOKUP(D366,Ngan_hang_cau_hoi!$B$2:$K$142,10,0)</f>
        <v>Chương 3 &amp; 4</v>
      </c>
      <c r="C366" t="str">
        <f>VLOOKUP(D366,Ngan_hang_cau_hoi!$B$2:$K$142,9,0)</f>
        <v>Trung bình</v>
      </c>
      <c r="D366">
        <f t="shared" si="10"/>
        <v>73</v>
      </c>
      <c r="F366" t="str">
        <f>IF(L366=2,COUNTIFS($L$1:L366,2,$B$1:B366,"Chương 3 &amp; 4"),"")</f>
        <v/>
      </c>
      <c r="G366" t="str">
        <f>VLOOKUP(D366,Ngan_hang_cau_hoi!$B$2:$K$142,L366,0)</f>
        <v>Format Disk</v>
      </c>
      <c r="H366" t="str">
        <f>IFERROR(VLOOKUP(J366,Ngan_hang_cau_hoi!$I$2:$L$142,4,0),"")</f>
        <v/>
      </c>
      <c r="J366" t="str">
        <f>IF(VLOOKUP(D366,Ngan_hang_cau_hoi!$B$2:$K$142,8,0)=G366,G366,"")</f>
        <v/>
      </c>
      <c r="L366">
        <f t="shared" si="11"/>
        <v>6</v>
      </c>
    </row>
    <row r="367" spans="1:12" x14ac:dyDescent="0.25">
      <c r="A367">
        <v>365</v>
      </c>
      <c r="B367" t="str">
        <f>VLOOKUP(D367,Ngan_hang_cau_hoi!$B$2:$K$142,10,0)</f>
        <v>Chương 3 &amp; 4</v>
      </c>
      <c r="C367" t="str">
        <f>VLOOKUP(D367,Ngan_hang_cau_hoi!$B$2:$K$142,9,0)</f>
        <v>Trung bình</v>
      </c>
      <c r="D367">
        <f t="shared" si="10"/>
        <v>74</v>
      </c>
      <c r="F367">
        <f>IF(L367=2,COUNTIFS($L$1:L367,2,$B$1:B367,"Chương 3 &amp; 4"),"")</f>
        <v>27</v>
      </c>
      <c r="G367" t="str">
        <f>VLOOKUP(D367,Ngan_hang_cau_hoi!$B$2:$K$142,L367,0)</f>
        <v>Để cài Windows theo chuẩn UEFI, ổ cứng phải sử dụng:</v>
      </c>
      <c r="H367" t="str">
        <f>IFERROR(VLOOKUP(J367,Ngan_hang_cau_hoi!$I$2:$L$142,4,0),"")</f>
        <v/>
      </c>
      <c r="J367" t="str">
        <f>IF(VLOOKUP(D367,Ngan_hang_cau_hoi!$B$2:$K$142,8,0)=G367,G367,"")</f>
        <v/>
      </c>
      <c r="L367">
        <f t="shared" si="11"/>
        <v>2</v>
      </c>
    </row>
    <row r="368" spans="1:12" x14ac:dyDescent="0.25">
      <c r="A368">
        <v>366</v>
      </c>
      <c r="B368" t="str">
        <f>VLOOKUP(D368,Ngan_hang_cau_hoi!$B$2:$K$142,10,0)</f>
        <v>Chương 3 &amp; 4</v>
      </c>
      <c r="C368" t="str">
        <f>VLOOKUP(D368,Ngan_hang_cau_hoi!$B$2:$K$142,9,0)</f>
        <v>Trung bình</v>
      </c>
      <c r="D368">
        <f t="shared" si="10"/>
        <v>74</v>
      </c>
      <c r="F368" t="str">
        <f>IF(L368=2,COUNTIFS($L$1:L368,2,$B$1:B368,"Chương 3 &amp; 4"),"")</f>
        <v/>
      </c>
      <c r="G368" t="str">
        <f>VLOOKUP(D368,Ngan_hang_cau_hoi!$B$2:$K$142,L368,0)</f>
        <v>MBR</v>
      </c>
      <c r="H368" t="str">
        <f>IFERROR(VLOOKUP(J368,Ngan_hang_cau_hoi!$I$2:$L$142,4,0),"")</f>
        <v/>
      </c>
      <c r="J368" t="str">
        <f>IF(VLOOKUP(D368,Ngan_hang_cau_hoi!$B$2:$K$142,8,0)=G368,G368,"")</f>
        <v/>
      </c>
      <c r="L368">
        <f t="shared" si="11"/>
        <v>3</v>
      </c>
    </row>
    <row r="369" spans="1:12" x14ac:dyDescent="0.25">
      <c r="A369">
        <v>367</v>
      </c>
      <c r="B369" t="str">
        <f>VLOOKUP(D369,Ngan_hang_cau_hoi!$B$2:$K$142,10,0)</f>
        <v>Chương 3 &amp; 4</v>
      </c>
      <c r="C369" t="str">
        <f>VLOOKUP(D369,Ngan_hang_cau_hoi!$B$2:$K$142,9,0)</f>
        <v>Trung bình</v>
      </c>
      <c r="D369">
        <f t="shared" si="10"/>
        <v>74</v>
      </c>
      <c r="F369" t="str">
        <f>IF(L369=2,COUNTIFS($L$1:L369,2,$B$1:B369,"Chương 3 &amp; 4"),"")</f>
        <v/>
      </c>
      <c r="G369" t="str">
        <f>VLOOKUP(D369,Ngan_hang_cau_hoi!$B$2:$K$142,L369,0)</f>
        <v>NTFS</v>
      </c>
      <c r="H369" t="str">
        <f>IFERROR(VLOOKUP(J369,Ngan_hang_cau_hoi!$I$2:$L$142,4,0),"")</f>
        <v/>
      </c>
      <c r="J369" t="str">
        <f>IF(VLOOKUP(D369,Ngan_hang_cau_hoi!$B$2:$K$142,8,0)=G369,G369,"")</f>
        <v/>
      </c>
      <c r="L369">
        <f t="shared" si="11"/>
        <v>4</v>
      </c>
    </row>
    <row r="370" spans="1:12" x14ac:dyDescent="0.25">
      <c r="A370">
        <v>368</v>
      </c>
      <c r="B370" t="str">
        <f>VLOOKUP(D370,Ngan_hang_cau_hoi!$B$2:$K$142,10,0)</f>
        <v>Chương 3 &amp; 4</v>
      </c>
      <c r="C370" t="str">
        <f>VLOOKUP(D370,Ngan_hang_cau_hoi!$B$2:$K$142,9,0)</f>
        <v>Trung bình</v>
      </c>
      <c r="D370">
        <f t="shared" si="10"/>
        <v>74</v>
      </c>
      <c r="F370" t="str">
        <f>IF(L370=2,COUNTIFS($L$1:L370,2,$B$1:B370,"Chương 3 &amp; 4"),"")</f>
        <v/>
      </c>
      <c r="G370" t="str">
        <f>VLOOKUP(D370,Ngan_hang_cau_hoi!$B$2:$K$142,L370,0)</f>
        <v>FAT16</v>
      </c>
      <c r="H370" t="str">
        <f>IFERROR(VLOOKUP(J370,Ngan_hang_cau_hoi!$I$2:$L$142,4,0),"")</f>
        <v/>
      </c>
      <c r="J370" t="str">
        <f>IF(VLOOKUP(D370,Ngan_hang_cau_hoi!$B$2:$K$142,8,0)=G370,G370,"")</f>
        <v/>
      </c>
      <c r="L370">
        <f t="shared" si="11"/>
        <v>5</v>
      </c>
    </row>
    <row r="371" spans="1:12" x14ac:dyDescent="0.25">
      <c r="A371">
        <v>369</v>
      </c>
      <c r="B371" t="str">
        <f>VLOOKUP(D371,Ngan_hang_cau_hoi!$B$2:$K$142,10,0)</f>
        <v>Chương 3 &amp; 4</v>
      </c>
      <c r="C371" t="str">
        <f>VLOOKUP(D371,Ngan_hang_cau_hoi!$B$2:$K$142,9,0)</f>
        <v>Trung bình</v>
      </c>
      <c r="D371">
        <f t="shared" si="10"/>
        <v>74</v>
      </c>
      <c r="F371" t="str">
        <f>IF(L371=2,COUNTIFS($L$1:L371,2,$B$1:B371,"Chương 3 &amp; 4"),"")</f>
        <v/>
      </c>
      <c r="G371" t="str">
        <f>VLOOKUP(D371,Ngan_hang_cau_hoi!$B$2:$K$142,L371,0)</f>
        <v>GPT</v>
      </c>
      <c r="H371" t="str">
        <f>IFERROR(VLOOKUP(J371,Ngan_hang_cau_hoi!$I$2:$L$142,4,0),"")</f>
        <v>D</v>
      </c>
      <c r="J371" t="str">
        <f>IF(VLOOKUP(D371,Ngan_hang_cau_hoi!$B$2:$K$142,8,0)=G371,G371,"")</f>
        <v>GPT</v>
      </c>
      <c r="L371">
        <f t="shared" si="11"/>
        <v>6</v>
      </c>
    </row>
    <row r="372" spans="1:12" x14ac:dyDescent="0.25">
      <c r="A372">
        <v>370</v>
      </c>
      <c r="B372" t="str">
        <f>VLOOKUP(D372,Ngan_hang_cau_hoi!$B$2:$K$142,10,0)</f>
        <v>Chương 3 &amp; 4</v>
      </c>
      <c r="C372" t="str">
        <f>VLOOKUP(D372,Ngan_hang_cau_hoi!$B$2:$K$142,9,0)</f>
        <v>Trung bình</v>
      </c>
      <c r="D372">
        <f t="shared" si="10"/>
        <v>75</v>
      </c>
      <c r="F372">
        <f>IF(L372=2,COUNTIFS($L$1:L372,2,$B$1:B372,"Chương 3 &amp; 4"),"")</f>
        <v>28</v>
      </c>
      <c r="G372" t="str">
        <f>VLOOKUP(D372,Ngan_hang_cau_hoi!$B$2:$K$142,L372,0)</f>
        <v>Công cụ phổ biến để tạo USB boot Windows là:</v>
      </c>
      <c r="H372" t="str">
        <f>IFERROR(VLOOKUP(J372,Ngan_hang_cau_hoi!$I$2:$L$142,4,0),"")</f>
        <v/>
      </c>
      <c r="J372" t="str">
        <f>IF(VLOOKUP(D372,Ngan_hang_cau_hoi!$B$2:$K$142,8,0)=G372,G372,"")</f>
        <v/>
      </c>
      <c r="L372">
        <f t="shared" si="11"/>
        <v>2</v>
      </c>
    </row>
    <row r="373" spans="1:12" x14ac:dyDescent="0.25">
      <c r="A373">
        <v>371</v>
      </c>
      <c r="B373" t="str">
        <f>VLOOKUP(D373,Ngan_hang_cau_hoi!$B$2:$K$142,10,0)</f>
        <v>Chương 3 &amp; 4</v>
      </c>
      <c r="C373" t="str">
        <f>VLOOKUP(D373,Ngan_hang_cau_hoi!$B$2:$K$142,9,0)</f>
        <v>Trung bình</v>
      </c>
      <c r="D373">
        <f t="shared" si="10"/>
        <v>75</v>
      </c>
      <c r="F373" t="str">
        <f>IF(L373=2,COUNTIFS($L$1:L373,2,$B$1:B373,"Chương 3 &amp; 4"),"")</f>
        <v/>
      </c>
      <c r="G373" t="str">
        <f>VLOOKUP(D373,Ngan_hang_cau_hoi!$B$2:$K$142,L373,0)</f>
        <v>LDPlayer</v>
      </c>
      <c r="H373" t="str">
        <f>IFERROR(VLOOKUP(J373,Ngan_hang_cau_hoi!$I$2:$L$142,4,0),"")</f>
        <v/>
      </c>
      <c r="J373" t="str">
        <f>IF(VLOOKUP(D373,Ngan_hang_cau_hoi!$B$2:$K$142,8,0)=G373,G373,"")</f>
        <v/>
      </c>
      <c r="L373">
        <f t="shared" si="11"/>
        <v>3</v>
      </c>
    </row>
    <row r="374" spans="1:12" x14ac:dyDescent="0.25">
      <c r="A374">
        <v>372</v>
      </c>
      <c r="B374" t="str">
        <f>VLOOKUP(D374,Ngan_hang_cau_hoi!$B$2:$K$142,10,0)</f>
        <v>Chương 3 &amp; 4</v>
      </c>
      <c r="C374" t="str">
        <f>VLOOKUP(D374,Ngan_hang_cau_hoi!$B$2:$K$142,9,0)</f>
        <v>Trung bình</v>
      </c>
      <c r="D374">
        <f t="shared" si="10"/>
        <v>75</v>
      </c>
      <c r="F374" t="str">
        <f>IF(L374=2,COUNTIFS($L$1:L374,2,$B$1:B374,"Chương 3 &amp; 4"),"")</f>
        <v/>
      </c>
      <c r="G374" t="str">
        <f>VLOOKUP(D374,Ngan_hang_cau_hoi!$B$2:$K$142,L374,0)</f>
        <v>Excel</v>
      </c>
      <c r="H374" t="str">
        <f>IFERROR(VLOOKUP(J374,Ngan_hang_cau_hoi!$I$2:$L$142,4,0),"")</f>
        <v/>
      </c>
      <c r="J374" t="str">
        <f>IF(VLOOKUP(D374,Ngan_hang_cau_hoi!$B$2:$K$142,8,0)=G374,G374,"")</f>
        <v/>
      </c>
      <c r="L374">
        <f t="shared" si="11"/>
        <v>4</v>
      </c>
    </row>
    <row r="375" spans="1:12" x14ac:dyDescent="0.25">
      <c r="A375">
        <v>373</v>
      </c>
      <c r="B375" t="str">
        <f>VLOOKUP(D375,Ngan_hang_cau_hoi!$B$2:$K$142,10,0)</f>
        <v>Chương 3 &amp; 4</v>
      </c>
      <c r="C375" t="str">
        <f>VLOOKUP(D375,Ngan_hang_cau_hoi!$B$2:$K$142,9,0)</f>
        <v>Trung bình</v>
      </c>
      <c r="D375">
        <f t="shared" si="10"/>
        <v>75</v>
      </c>
      <c r="F375" t="str">
        <f>IF(L375=2,COUNTIFS($L$1:L375,2,$B$1:B375,"Chương 3 &amp; 4"),"")</f>
        <v/>
      </c>
      <c r="G375" t="str">
        <f>VLOOKUP(D375,Ngan_hang_cau_hoi!$B$2:$K$142,L375,0)</f>
        <v>Rufus</v>
      </c>
      <c r="H375" t="str">
        <f>IFERROR(VLOOKUP(J375,Ngan_hang_cau_hoi!$I$2:$L$142,4,0),"")</f>
        <v>C</v>
      </c>
      <c r="J375" t="str">
        <f>IF(VLOOKUP(D375,Ngan_hang_cau_hoi!$B$2:$K$142,8,0)=G375,G375,"")</f>
        <v>Rufus</v>
      </c>
      <c r="L375">
        <f t="shared" si="11"/>
        <v>5</v>
      </c>
    </row>
    <row r="376" spans="1:12" x14ac:dyDescent="0.25">
      <c r="A376">
        <v>374</v>
      </c>
      <c r="B376" t="str">
        <f>VLOOKUP(D376,Ngan_hang_cau_hoi!$B$2:$K$142,10,0)</f>
        <v>Chương 3 &amp; 4</v>
      </c>
      <c r="C376" t="str">
        <f>VLOOKUP(D376,Ngan_hang_cau_hoi!$B$2:$K$142,9,0)</f>
        <v>Trung bình</v>
      </c>
      <c r="D376">
        <f t="shared" si="10"/>
        <v>75</v>
      </c>
      <c r="F376" t="str">
        <f>IF(L376=2,COUNTIFS($L$1:L376,2,$B$1:B376,"Chương 3 &amp; 4"),"")</f>
        <v/>
      </c>
      <c r="G376" t="str">
        <f>VLOOKUP(D376,Ngan_hang_cau_hoi!$B$2:$K$142,L376,0)</f>
        <v>BlueStacks</v>
      </c>
      <c r="H376" t="str">
        <f>IFERROR(VLOOKUP(J376,Ngan_hang_cau_hoi!$I$2:$L$142,4,0),"")</f>
        <v/>
      </c>
      <c r="J376" t="str">
        <f>IF(VLOOKUP(D376,Ngan_hang_cau_hoi!$B$2:$K$142,8,0)=G376,G376,"")</f>
        <v/>
      </c>
      <c r="L376">
        <f t="shared" si="11"/>
        <v>6</v>
      </c>
    </row>
    <row r="377" spans="1:12" x14ac:dyDescent="0.25">
      <c r="A377">
        <v>375</v>
      </c>
      <c r="B377" t="str">
        <f>VLOOKUP(D377,Ngan_hang_cau_hoi!$B$2:$K$142,10,0)</f>
        <v>Chương 3 &amp; 4</v>
      </c>
      <c r="C377" t="str">
        <f>VLOOKUP(D377,Ngan_hang_cau_hoi!$B$2:$K$142,9,0)</f>
        <v>Trung bình</v>
      </c>
      <c r="D377">
        <f t="shared" si="10"/>
        <v>76</v>
      </c>
      <c r="F377">
        <f>IF(L377=2,COUNTIFS($L$1:L377,2,$B$1:B377,"Chương 3 &amp; 4"),"")</f>
        <v>29</v>
      </c>
      <c r="G377" t="str">
        <f>VLOOKUP(D377,Ngan_hang_cau_hoi!$B$2:$K$142,L377,0)</f>
        <v>Chế độ UEFI khác BIOS Legacy ở điểm nào quan trọng nhất?</v>
      </c>
      <c r="H377" t="str">
        <f>IFERROR(VLOOKUP(J377,Ngan_hang_cau_hoi!$I$2:$L$142,4,0),"")</f>
        <v/>
      </c>
      <c r="J377" t="str">
        <f>IF(VLOOKUP(D377,Ngan_hang_cau_hoi!$B$2:$K$142,8,0)=G377,G377,"")</f>
        <v/>
      </c>
      <c r="L377">
        <f t="shared" si="11"/>
        <v>2</v>
      </c>
    </row>
    <row r="378" spans="1:12" x14ac:dyDescent="0.25">
      <c r="A378">
        <v>376</v>
      </c>
      <c r="B378" t="str">
        <f>VLOOKUP(D378,Ngan_hang_cau_hoi!$B$2:$K$142,10,0)</f>
        <v>Chương 3 &amp; 4</v>
      </c>
      <c r="C378" t="str">
        <f>VLOOKUP(D378,Ngan_hang_cau_hoi!$B$2:$K$142,9,0)</f>
        <v>Trung bình</v>
      </c>
      <c r="D378">
        <f t="shared" si="10"/>
        <v>76</v>
      </c>
      <c r="F378" t="str">
        <f>IF(L378=2,COUNTIFS($L$1:L378,2,$B$1:B378,"Chương 3 &amp; 4"),"")</f>
        <v/>
      </c>
      <c r="G378" t="str">
        <f>VLOOKUP(D378,Ngan_hang_cau_hoi!$B$2:$K$142,L378,0)</f>
        <v>Hỗ trợ ổ cứng dung lượng nhỏ hơn</v>
      </c>
      <c r="H378" t="str">
        <f>IFERROR(VLOOKUP(J378,Ngan_hang_cau_hoi!$I$2:$L$142,4,0),"")</f>
        <v/>
      </c>
      <c r="J378" t="str">
        <f>IF(VLOOKUP(D378,Ngan_hang_cau_hoi!$B$2:$K$142,8,0)=G378,G378,"")</f>
        <v/>
      </c>
      <c r="L378">
        <f t="shared" si="11"/>
        <v>3</v>
      </c>
    </row>
    <row r="379" spans="1:12" x14ac:dyDescent="0.25">
      <c r="A379">
        <v>377</v>
      </c>
      <c r="B379" t="str">
        <f>VLOOKUP(D379,Ngan_hang_cau_hoi!$B$2:$K$142,10,0)</f>
        <v>Chương 3 &amp; 4</v>
      </c>
      <c r="C379" t="str">
        <f>VLOOKUP(D379,Ngan_hang_cau_hoi!$B$2:$K$142,9,0)</f>
        <v>Trung bình</v>
      </c>
      <c r="D379">
        <f t="shared" si="10"/>
        <v>76</v>
      </c>
      <c r="F379" t="str">
        <f>IF(L379=2,COUNTIFS($L$1:L379,2,$B$1:B379,"Chương 3 &amp; 4"),"")</f>
        <v/>
      </c>
      <c r="G379" t="str">
        <f>VLOOKUP(D379,Ngan_hang_cau_hoi!$B$2:$K$142,L379,0)</f>
        <v>Hỗ trợ GPT và ổ &gt; 2TB</v>
      </c>
      <c r="H379" t="str">
        <f>IFERROR(VLOOKUP(J379,Ngan_hang_cau_hoi!$I$2:$L$142,4,0),"")</f>
        <v>B</v>
      </c>
      <c r="J379" t="str">
        <f>IF(VLOOKUP(D379,Ngan_hang_cau_hoi!$B$2:$K$142,8,0)=G379,G379,"")</f>
        <v>Hỗ trợ GPT và ổ &gt; 2TB</v>
      </c>
      <c r="L379">
        <f t="shared" si="11"/>
        <v>4</v>
      </c>
    </row>
    <row r="380" spans="1:12" x14ac:dyDescent="0.25">
      <c r="A380">
        <v>378</v>
      </c>
      <c r="B380" t="str">
        <f>VLOOKUP(D380,Ngan_hang_cau_hoi!$B$2:$K$142,10,0)</f>
        <v>Chương 3 &amp; 4</v>
      </c>
      <c r="C380" t="str">
        <f>VLOOKUP(D380,Ngan_hang_cau_hoi!$B$2:$K$142,9,0)</f>
        <v>Trung bình</v>
      </c>
      <c r="D380">
        <f t="shared" si="10"/>
        <v>76</v>
      </c>
      <c r="F380" t="str">
        <f>IF(L380=2,COUNTIFS($L$1:L380,2,$B$1:B380,"Chương 3 &amp; 4"),"")</f>
        <v/>
      </c>
      <c r="G380" t="str">
        <f>VLOOKUP(D380,Ngan_hang_cau_hoi!$B$2:$K$142,L380,0)</f>
        <v>Không cần bootloader</v>
      </c>
      <c r="H380" t="str">
        <f>IFERROR(VLOOKUP(J380,Ngan_hang_cau_hoi!$I$2:$L$142,4,0),"")</f>
        <v/>
      </c>
      <c r="J380" t="str">
        <f>IF(VLOOKUP(D380,Ngan_hang_cau_hoi!$B$2:$K$142,8,0)=G380,G380,"")</f>
        <v/>
      </c>
      <c r="L380">
        <f t="shared" si="11"/>
        <v>5</v>
      </c>
    </row>
    <row r="381" spans="1:12" x14ac:dyDescent="0.25">
      <c r="A381">
        <v>379</v>
      </c>
      <c r="B381" t="str">
        <f>VLOOKUP(D381,Ngan_hang_cau_hoi!$B$2:$K$142,10,0)</f>
        <v>Chương 3 &amp; 4</v>
      </c>
      <c r="C381" t="str">
        <f>VLOOKUP(D381,Ngan_hang_cau_hoi!$B$2:$K$142,9,0)</f>
        <v>Trung bình</v>
      </c>
      <c r="D381">
        <f t="shared" si="10"/>
        <v>76</v>
      </c>
      <c r="F381" t="str">
        <f>IF(L381=2,COUNTIFS($L$1:L381,2,$B$1:B381,"Chương 3 &amp; 4"),"")</f>
        <v/>
      </c>
      <c r="G381" t="str">
        <f>VLOOKUP(D381,Ngan_hang_cau_hoi!$B$2:$K$142,L381,0)</f>
        <v>Không hỗ trợ hệ điều hành</v>
      </c>
      <c r="H381" t="str">
        <f>IFERROR(VLOOKUP(J381,Ngan_hang_cau_hoi!$I$2:$L$142,4,0),"")</f>
        <v/>
      </c>
      <c r="J381" t="str">
        <f>IF(VLOOKUP(D381,Ngan_hang_cau_hoi!$B$2:$K$142,8,0)=G381,G381,"")</f>
        <v/>
      </c>
      <c r="L381">
        <f t="shared" si="11"/>
        <v>6</v>
      </c>
    </row>
    <row r="382" spans="1:12" x14ac:dyDescent="0.25">
      <c r="A382">
        <v>380</v>
      </c>
      <c r="B382" t="str">
        <f>VLOOKUP(D382,Ngan_hang_cau_hoi!$B$2:$K$142,10,0)</f>
        <v>Chương 5</v>
      </c>
      <c r="C382" t="str">
        <f>VLOOKUP(D382,Ngan_hang_cau_hoi!$B$2:$K$142,9,0)</f>
        <v>Dễ</v>
      </c>
      <c r="D382">
        <f t="shared" si="10"/>
        <v>77</v>
      </c>
      <c r="F382">
        <f>IF(L382=2,COUNTIFS($L$1:L382,2,$B$1:B382,"Chương 5"),"")</f>
        <v>1</v>
      </c>
      <c r="G382" t="str">
        <f>VLOOKUP(D382,Ngan_hang_cau_hoi!$B$2:$K$142,L382,0)</f>
        <v>Sau khi lắp CPU nhưng máy tự tắt sau vài giây, nguyên nhân có thể là:</v>
      </c>
      <c r="H382" t="str">
        <f>IFERROR(VLOOKUP(J382,Ngan_hang_cau_hoi!$I$2:$L$142,4,0),"")</f>
        <v/>
      </c>
      <c r="J382" t="str">
        <f>IF(VLOOKUP(D382,Ngan_hang_cau_hoi!$B$2:$K$142,8,0)=G382,G382,"")</f>
        <v/>
      </c>
      <c r="L382">
        <f t="shared" si="11"/>
        <v>2</v>
      </c>
    </row>
    <row r="383" spans="1:12" x14ac:dyDescent="0.25">
      <c r="A383">
        <v>381</v>
      </c>
      <c r="B383" t="str">
        <f>VLOOKUP(D383,Ngan_hang_cau_hoi!$B$2:$K$142,10,0)</f>
        <v>Chương 5</v>
      </c>
      <c r="C383" t="str">
        <f>VLOOKUP(D383,Ngan_hang_cau_hoi!$B$2:$K$142,9,0)</f>
        <v>Dễ</v>
      </c>
      <c r="D383">
        <f t="shared" si="10"/>
        <v>77</v>
      </c>
      <c r="F383" t="str">
        <f>IF(L383=2,COUNTIFS($L$1:L383,2,$B$1:B383,"Chương 5"),"")</f>
        <v/>
      </c>
      <c r="G383" t="str">
        <f>VLOOKUP(D383,Ngan_hang_cau_hoi!$B$2:$K$142,L383,0)</f>
        <v>Không cắm SSD</v>
      </c>
      <c r="H383" t="str">
        <f>IFERROR(VLOOKUP(J383,Ngan_hang_cau_hoi!$I$2:$L$142,4,0),"")</f>
        <v/>
      </c>
      <c r="J383" t="str">
        <f>IF(VLOOKUP(D383,Ngan_hang_cau_hoi!$B$2:$K$142,8,0)=G383,G383,"")</f>
        <v/>
      </c>
      <c r="L383">
        <f t="shared" si="11"/>
        <v>3</v>
      </c>
    </row>
    <row r="384" spans="1:12" x14ac:dyDescent="0.25">
      <c r="A384">
        <v>382</v>
      </c>
      <c r="B384" t="str">
        <f>VLOOKUP(D384,Ngan_hang_cau_hoi!$B$2:$K$142,10,0)</f>
        <v>Chương 5</v>
      </c>
      <c r="C384" t="str">
        <f>VLOOKUP(D384,Ngan_hang_cau_hoi!$B$2:$K$142,9,0)</f>
        <v>Dễ</v>
      </c>
      <c r="D384">
        <f t="shared" si="10"/>
        <v>77</v>
      </c>
      <c r="F384" t="str">
        <f>IF(L384=2,COUNTIFS($L$1:L384,2,$B$1:B384,"Chương 5"),"")</f>
        <v/>
      </c>
      <c r="G384" t="str">
        <f>VLOOKUP(D384,Ngan_hang_cau_hoi!$B$2:$K$142,L384,0)</f>
        <v>CPU quá nóng</v>
      </c>
      <c r="H384" t="str">
        <f>IFERROR(VLOOKUP(J384,Ngan_hang_cau_hoi!$I$2:$L$142,4,0),"")</f>
        <v>B</v>
      </c>
      <c r="J384" t="str">
        <f>IF(VLOOKUP(D384,Ngan_hang_cau_hoi!$B$2:$K$142,8,0)=G384,G384,"")</f>
        <v>CPU quá nóng</v>
      </c>
      <c r="L384">
        <f t="shared" si="11"/>
        <v>4</v>
      </c>
    </row>
    <row r="385" spans="1:12" x14ac:dyDescent="0.25">
      <c r="A385">
        <v>383</v>
      </c>
      <c r="B385" t="str">
        <f>VLOOKUP(D385,Ngan_hang_cau_hoi!$B$2:$K$142,10,0)</f>
        <v>Chương 5</v>
      </c>
      <c r="C385" t="str">
        <f>VLOOKUP(D385,Ngan_hang_cau_hoi!$B$2:$K$142,9,0)</f>
        <v>Dễ</v>
      </c>
      <c r="D385">
        <f t="shared" si="10"/>
        <v>77</v>
      </c>
      <c r="F385" t="str">
        <f>IF(L385=2,COUNTIFS($L$1:L385,2,$B$1:B385,"Chương 5"),"")</f>
        <v/>
      </c>
      <c r="G385" t="str">
        <f>VLOOKUP(D385,Ngan_hang_cau_hoi!$B$2:$K$142,L385,0)</f>
        <v>Chuột lỗi</v>
      </c>
      <c r="H385" t="str">
        <f>IFERROR(VLOOKUP(J385,Ngan_hang_cau_hoi!$I$2:$L$142,4,0),"")</f>
        <v/>
      </c>
      <c r="J385" t="str">
        <f>IF(VLOOKUP(D385,Ngan_hang_cau_hoi!$B$2:$K$142,8,0)=G385,G385,"")</f>
        <v/>
      </c>
      <c r="L385">
        <f t="shared" si="11"/>
        <v>5</v>
      </c>
    </row>
    <row r="386" spans="1:12" x14ac:dyDescent="0.25">
      <c r="A386">
        <v>384</v>
      </c>
      <c r="B386" t="str">
        <f>VLOOKUP(D386,Ngan_hang_cau_hoi!$B$2:$K$142,10,0)</f>
        <v>Chương 5</v>
      </c>
      <c r="C386" t="str">
        <f>VLOOKUP(D386,Ngan_hang_cau_hoi!$B$2:$K$142,9,0)</f>
        <v>Dễ</v>
      </c>
      <c r="D386">
        <f t="shared" si="10"/>
        <v>77</v>
      </c>
      <c r="F386" t="str">
        <f>IF(L386=2,COUNTIFS($L$1:L386,2,$B$1:B386,"Chương 5"),"")</f>
        <v/>
      </c>
      <c r="G386" t="str">
        <f>VLOOKUP(D386,Ngan_hang_cau_hoi!$B$2:$K$142,L386,0)</f>
        <v>Thiếu RAM</v>
      </c>
      <c r="H386" t="str">
        <f>IFERROR(VLOOKUP(J386,Ngan_hang_cau_hoi!$I$2:$L$142,4,0),"")</f>
        <v/>
      </c>
      <c r="J386" t="str">
        <f>IF(VLOOKUP(D386,Ngan_hang_cau_hoi!$B$2:$K$142,8,0)=G386,G386,"")</f>
        <v/>
      </c>
      <c r="L386">
        <f t="shared" si="11"/>
        <v>6</v>
      </c>
    </row>
    <row r="387" spans="1:12" x14ac:dyDescent="0.25">
      <c r="A387">
        <v>385</v>
      </c>
      <c r="B387" t="str">
        <f>VLOOKUP(D387,Ngan_hang_cau_hoi!$B$2:$K$142,10,0)</f>
        <v>Chương 5</v>
      </c>
      <c r="C387" t="str">
        <f>VLOOKUP(D387,Ngan_hang_cau_hoi!$B$2:$K$142,9,0)</f>
        <v>Dễ</v>
      </c>
      <c r="D387">
        <f t="shared" ref="D387:D450" si="12">INT(A387/5)+1</f>
        <v>78</v>
      </c>
      <c r="F387">
        <f>IF(L387=2,COUNTIFS($L$1:L387,2,$B$1:B387,"Chương 5"),"")</f>
        <v>2</v>
      </c>
      <c r="G387" t="str">
        <f>VLOOKUP(D387,Ngan_hang_cau_hoi!$B$2:$K$142,L387,0)</f>
        <v>Nếu thiếu bộ phận tản nhiệt cho CPU thì?</v>
      </c>
      <c r="H387" t="str">
        <f>IFERROR(VLOOKUP(J387,Ngan_hang_cau_hoi!$I$2:$L$142,4,0),"")</f>
        <v/>
      </c>
      <c r="J387" t="str">
        <f>IF(VLOOKUP(D387,Ngan_hang_cau_hoi!$B$2:$K$142,8,0)=G387,G387,"")</f>
        <v/>
      </c>
      <c r="L387">
        <f t="shared" ref="L387:L450" si="13">IF(L386=6,2,L386+1)</f>
        <v>2</v>
      </c>
    </row>
    <row r="388" spans="1:12" x14ac:dyDescent="0.25">
      <c r="A388">
        <v>386</v>
      </c>
      <c r="B388" t="str">
        <f>VLOOKUP(D388,Ngan_hang_cau_hoi!$B$2:$K$142,10,0)</f>
        <v>Chương 5</v>
      </c>
      <c r="C388" t="str">
        <f>VLOOKUP(D388,Ngan_hang_cau_hoi!$B$2:$K$142,9,0)</f>
        <v>Dễ</v>
      </c>
      <c r="D388">
        <f t="shared" si="12"/>
        <v>78</v>
      </c>
      <c r="F388" t="str">
        <f>IF(L388=2,COUNTIFS($L$1:L388,2,$B$1:B388,"Chương 5"),"")</f>
        <v/>
      </c>
      <c r="G388" t="str">
        <f>VLOOKUP(D388,Ngan_hang_cau_hoi!$B$2:$K$142,L388,0)</f>
        <v>Máy chạy bình thường</v>
      </c>
      <c r="H388" t="str">
        <f>IFERROR(VLOOKUP(J388,Ngan_hang_cau_hoi!$I$2:$L$142,4,0),"")</f>
        <v/>
      </c>
      <c r="J388" t="str">
        <f>IF(VLOOKUP(D388,Ngan_hang_cau_hoi!$B$2:$K$142,8,0)=G388,G388,"")</f>
        <v/>
      </c>
      <c r="L388">
        <f t="shared" si="13"/>
        <v>3</v>
      </c>
    </row>
    <row r="389" spans="1:12" x14ac:dyDescent="0.25">
      <c r="A389">
        <v>387</v>
      </c>
      <c r="B389" t="str">
        <f>VLOOKUP(D389,Ngan_hang_cau_hoi!$B$2:$K$142,10,0)</f>
        <v>Chương 5</v>
      </c>
      <c r="C389" t="str">
        <f>VLOOKUP(D389,Ngan_hang_cau_hoi!$B$2:$K$142,9,0)</f>
        <v>Dễ</v>
      </c>
      <c r="D389">
        <f t="shared" si="12"/>
        <v>78</v>
      </c>
      <c r="F389" t="str">
        <f>IF(L389=2,COUNTIFS($L$1:L389,2,$B$1:B389,"Chương 5"),"")</f>
        <v/>
      </c>
      <c r="G389" t="str">
        <f>VLOOKUP(D389,Ngan_hang_cau_hoi!$B$2:$K$142,L389,0)</f>
        <v>CPU quá nhiệt</v>
      </c>
      <c r="H389" t="str">
        <f>IFERROR(VLOOKUP(J389,Ngan_hang_cau_hoi!$I$2:$L$142,4,0),"")</f>
        <v>B</v>
      </c>
      <c r="J389" t="str">
        <f>IF(VLOOKUP(D389,Ngan_hang_cau_hoi!$B$2:$K$142,8,0)=G389,G389,"")</f>
        <v>CPU quá nhiệt</v>
      </c>
      <c r="L389">
        <f t="shared" si="13"/>
        <v>4</v>
      </c>
    </row>
    <row r="390" spans="1:12" x14ac:dyDescent="0.25">
      <c r="A390">
        <v>388</v>
      </c>
      <c r="B390" t="str">
        <f>VLOOKUP(D390,Ngan_hang_cau_hoi!$B$2:$K$142,10,0)</f>
        <v>Chương 5</v>
      </c>
      <c r="C390" t="str">
        <f>VLOOKUP(D390,Ngan_hang_cau_hoi!$B$2:$K$142,9,0)</f>
        <v>Dễ</v>
      </c>
      <c r="D390">
        <f t="shared" si="12"/>
        <v>78</v>
      </c>
      <c r="F390" t="str">
        <f>IF(L390=2,COUNTIFS($L$1:L390,2,$B$1:B390,"Chương 5"),"")</f>
        <v/>
      </c>
      <c r="G390" t="str">
        <f>VLOOKUP(D390,Ngan_hang_cau_hoi!$B$2:$K$142,L390,0)</f>
        <v>RAM hỏng</v>
      </c>
      <c r="H390" t="str">
        <f>IFERROR(VLOOKUP(J390,Ngan_hang_cau_hoi!$I$2:$L$142,4,0),"")</f>
        <v/>
      </c>
      <c r="J390" t="str">
        <f>IF(VLOOKUP(D390,Ngan_hang_cau_hoi!$B$2:$K$142,8,0)=G390,G390,"")</f>
        <v/>
      </c>
      <c r="L390">
        <f t="shared" si="13"/>
        <v>5</v>
      </c>
    </row>
    <row r="391" spans="1:12" x14ac:dyDescent="0.25">
      <c r="A391">
        <v>389</v>
      </c>
      <c r="B391" t="str">
        <f>VLOOKUP(D391,Ngan_hang_cau_hoi!$B$2:$K$142,10,0)</f>
        <v>Chương 5</v>
      </c>
      <c r="C391" t="str">
        <f>VLOOKUP(D391,Ngan_hang_cau_hoi!$B$2:$K$142,9,0)</f>
        <v>Dễ</v>
      </c>
      <c r="D391">
        <f t="shared" si="12"/>
        <v>78</v>
      </c>
      <c r="F391" t="str">
        <f>IF(L391=2,COUNTIFS($L$1:L391,2,$B$1:B391,"Chương 5"),"")</f>
        <v/>
      </c>
      <c r="G391" t="str">
        <f>VLOOKUP(D391,Ngan_hang_cau_hoi!$B$2:$K$142,L391,0)</f>
        <v>SSD hỏng</v>
      </c>
      <c r="H391" t="str">
        <f>IFERROR(VLOOKUP(J391,Ngan_hang_cau_hoi!$I$2:$L$142,4,0),"")</f>
        <v/>
      </c>
      <c r="J391" t="str">
        <f>IF(VLOOKUP(D391,Ngan_hang_cau_hoi!$B$2:$K$142,8,0)=G391,G391,"")</f>
        <v/>
      </c>
      <c r="L391">
        <f t="shared" si="13"/>
        <v>6</v>
      </c>
    </row>
    <row r="392" spans="1:12" x14ac:dyDescent="0.25">
      <c r="A392">
        <v>390</v>
      </c>
      <c r="B392" t="str">
        <f>VLOOKUP(D392,Ngan_hang_cau_hoi!$B$2:$K$142,10,0)</f>
        <v>Chương 5</v>
      </c>
      <c r="C392" t="str">
        <f>VLOOKUP(D392,Ngan_hang_cau_hoi!$B$2:$K$142,9,0)</f>
        <v>Dễ</v>
      </c>
      <c r="D392">
        <f t="shared" si="12"/>
        <v>79</v>
      </c>
      <c r="F392">
        <f>IF(L392=2,COUNTIFS($L$1:L392,2,$B$1:B392,"Chương 5"),"")</f>
        <v>3</v>
      </c>
      <c r="G392" t="str">
        <f>VLOOKUP(D392,Ngan_hang_cau_hoi!$B$2:$K$142,L392,0)</f>
        <v>Nếu mainboard không hỗ trợ NVMe:</v>
      </c>
      <c r="H392" t="str">
        <f>IFERROR(VLOOKUP(J392,Ngan_hang_cau_hoi!$I$2:$L$142,4,0),"")</f>
        <v/>
      </c>
      <c r="J392" t="str">
        <f>IF(VLOOKUP(D392,Ngan_hang_cau_hoi!$B$2:$K$142,8,0)=G392,G392,"")</f>
        <v/>
      </c>
      <c r="L392">
        <f t="shared" si="13"/>
        <v>2</v>
      </c>
    </row>
    <row r="393" spans="1:12" x14ac:dyDescent="0.25">
      <c r="A393">
        <v>391</v>
      </c>
      <c r="B393" t="str">
        <f>VLOOKUP(D393,Ngan_hang_cau_hoi!$B$2:$K$142,10,0)</f>
        <v>Chương 5</v>
      </c>
      <c r="C393" t="str">
        <f>VLOOKUP(D393,Ngan_hang_cau_hoi!$B$2:$K$142,9,0)</f>
        <v>Dễ</v>
      </c>
      <c r="D393">
        <f t="shared" si="12"/>
        <v>79</v>
      </c>
      <c r="F393" t="str">
        <f>IF(L393=2,COUNTIFS($L$1:L393,2,$B$1:B393,"Chương 5"),"")</f>
        <v/>
      </c>
      <c r="G393" t="str">
        <f>VLOOKUP(D393,Ngan_hang_cau_hoi!$B$2:$K$142,L393,0)</f>
        <v>Không nhận ổ</v>
      </c>
      <c r="H393" t="str">
        <f>IFERROR(VLOOKUP(J393,Ngan_hang_cau_hoi!$I$2:$L$142,4,0),"")</f>
        <v>A</v>
      </c>
      <c r="J393" t="str">
        <f>IF(VLOOKUP(D393,Ngan_hang_cau_hoi!$B$2:$K$142,8,0)=G393,G393,"")</f>
        <v>Không nhận ổ</v>
      </c>
      <c r="L393">
        <f t="shared" si="13"/>
        <v>3</v>
      </c>
    </row>
    <row r="394" spans="1:12" x14ac:dyDescent="0.25">
      <c r="A394">
        <v>392</v>
      </c>
      <c r="B394" t="str">
        <f>VLOOKUP(D394,Ngan_hang_cau_hoi!$B$2:$K$142,10,0)</f>
        <v>Chương 5</v>
      </c>
      <c r="C394" t="str">
        <f>VLOOKUP(D394,Ngan_hang_cau_hoi!$B$2:$K$142,9,0)</f>
        <v>Dễ</v>
      </c>
      <c r="D394">
        <f t="shared" si="12"/>
        <v>79</v>
      </c>
      <c r="F394" t="str">
        <f>IF(L394=2,COUNTIFS($L$1:L394,2,$B$1:B394,"Chương 5"),"")</f>
        <v/>
      </c>
      <c r="G394" t="str">
        <f>VLOOKUP(D394,Ngan_hang_cau_hoi!$B$2:$K$142,L394,0)</f>
        <v>Không nhận RAM</v>
      </c>
      <c r="H394" t="str">
        <f>IFERROR(VLOOKUP(J394,Ngan_hang_cau_hoi!$I$2:$L$142,4,0),"")</f>
        <v/>
      </c>
      <c r="J394" t="str">
        <f>IF(VLOOKUP(D394,Ngan_hang_cau_hoi!$B$2:$K$142,8,0)=G394,G394,"")</f>
        <v/>
      </c>
      <c r="L394">
        <f t="shared" si="13"/>
        <v>4</v>
      </c>
    </row>
    <row r="395" spans="1:12" x14ac:dyDescent="0.25">
      <c r="A395">
        <v>393</v>
      </c>
      <c r="B395" t="str">
        <f>VLOOKUP(D395,Ngan_hang_cau_hoi!$B$2:$K$142,10,0)</f>
        <v>Chương 5</v>
      </c>
      <c r="C395" t="str">
        <f>VLOOKUP(D395,Ngan_hang_cau_hoi!$B$2:$K$142,9,0)</f>
        <v>Dễ</v>
      </c>
      <c r="D395">
        <f t="shared" si="12"/>
        <v>79</v>
      </c>
      <c r="F395" t="str">
        <f>IF(L395=2,COUNTIFS($L$1:L395,2,$B$1:B395,"Chương 5"),"")</f>
        <v/>
      </c>
      <c r="G395" t="str">
        <f>VLOOKUP(D395,Ngan_hang_cau_hoi!$B$2:$K$142,L395,0)</f>
        <v>Không nhận GPU</v>
      </c>
      <c r="H395" t="str">
        <f>IFERROR(VLOOKUP(J395,Ngan_hang_cau_hoi!$I$2:$L$142,4,0),"")</f>
        <v/>
      </c>
      <c r="J395" t="str">
        <f>IF(VLOOKUP(D395,Ngan_hang_cau_hoi!$B$2:$K$142,8,0)=G395,G395,"")</f>
        <v/>
      </c>
      <c r="L395">
        <f t="shared" si="13"/>
        <v>5</v>
      </c>
    </row>
    <row r="396" spans="1:12" x14ac:dyDescent="0.25">
      <c r="A396">
        <v>394</v>
      </c>
      <c r="B396" t="str">
        <f>VLOOKUP(D396,Ngan_hang_cau_hoi!$B$2:$K$142,10,0)</f>
        <v>Chương 5</v>
      </c>
      <c r="C396" t="str">
        <f>VLOOKUP(D396,Ngan_hang_cau_hoi!$B$2:$K$142,9,0)</f>
        <v>Dễ</v>
      </c>
      <c r="D396">
        <f t="shared" si="12"/>
        <v>79</v>
      </c>
      <c r="F396" t="str">
        <f>IF(L396=2,COUNTIFS($L$1:L396,2,$B$1:B396,"Chương 5"),"")</f>
        <v/>
      </c>
      <c r="G396" t="str">
        <f>VLOOKUP(D396,Ngan_hang_cau_hoi!$B$2:$K$142,L396,0)</f>
        <v>SSD cháy</v>
      </c>
      <c r="H396" t="str">
        <f>IFERROR(VLOOKUP(J396,Ngan_hang_cau_hoi!$I$2:$L$142,4,0),"")</f>
        <v/>
      </c>
      <c r="J396" t="str">
        <f>IF(VLOOKUP(D396,Ngan_hang_cau_hoi!$B$2:$K$142,8,0)=G396,G396,"")</f>
        <v/>
      </c>
      <c r="L396">
        <f t="shared" si="13"/>
        <v>6</v>
      </c>
    </row>
    <row r="397" spans="1:12" x14ac:dyDescent="0.25">
      <c r="A397">
        <v>395</v>
      </c>
      <c r="B397" t="str">
        <f>VLOOKUP(D397,Ngan_hang_cau_hoi!$B$2:$K$142,10,0)</f>
        <v>Chương 5</v>
      </c>
      <c r="C397" t="str">
        <f>VLOOKUP(D397,Ngan_hang_cau_hoi!$B$2:$K$142,9,0)</f>
        <v>Dễ</v>
      </c>
      <c r="D397">
        <f t="shared" si="12"/>
        <v>80</v>
      </c>
      <c r="F397">
        <f>IF(L397=2,COUNTIFS($L$1:L397,2,$B$1:B397,"Chương 5"),"")</f>
        <v>4</v>
      </c>
      <c r="G397" t="str">
        <f>VLOOKUP(D397,Ngan_hang_cau_hoi!$B$2:$K$142,L397,0)</f>
        <v>Nếu dây SATA tiếp xúc không tốt thì:</v>
      </c>
      <c r="H397" t="str">
        <f>IFERROR(VLOOKUP(J397,Ngan_hang_cau_hoi!$I$2:$L$142,4,0),"")</f>
        <v/>
      </c>
      <c r="J397" t="str">
        <f>IF(VLOOKUP(D397,Ngan_hang_cau_hoi!$B$2:$K$142,8,0)=G397,G397,"")</f>
        <v/>
      </c>
      <c r="L397">
        <f t="shared" si="13"/>
        <v>2</v>
      </c>
    </row>
    <row r="398" spans="1:12" x14ac:dyDescent="0.25">
      <c r="A398">
        <v>396</v>
      </c>
      <c r="B398" t="str">
        <f>VLOOKUP(D398,Ngan_hang_cau_hoi!$B$2:$K$142,10,0)</f>
        <v>Chương 5</v>
      </c>
      <c r="C398" t="str">
        <f>VLOOKUP(D398,Ngan_hang_cau_hoi!$B$2:$K$142,9,0)</f>
        <v>Dễ</v>
      </c>
      <c r="D398">
        <f t="shared" si="12"/>
        <v>80</v>
      </c>
      <c r="F398" t="str">
        <f>IF(L398=2,COUNTIFS($L$1:L398,2,$B$1:B398,"Chương 5"),"")</f>
        <v/>
      </c>
      <c r="G398" t="str">
        <f>VLOOKUP(D398,Ngan_hang_cau_hoi!$B$2:$K$142,L398,0)</f>
        <v>HDD không nhận</v>
      </c>
      <c r="H398" t="str">
        <f>IFERROR(VLOOKUP(J398,Ngan_hang_cau_hoi!$I$2:$L$142,4,0),"")</f>
        <v>A</v>
      </c>
      <c r="J398" t="str">
        <f>IF(VLOOKUP(D398,Ngan_hang_cau_hoi!$B$2:$K$142,8,0)=G398,G398,"")</f>
        <v>HDD không nhận</v>
      </c>
      <c r="L398">
        <f t="shared" si="13"/>
        <v>3</v>
      </c>
    </row>
    <row r="399" spans="1:12" x14ac:dyDescent="0.25">
      <c r="A399">
        <v>397</v>
      </c>
      <c r="B399" t="str">
        <f>VLOOKUP(D399,Ngan_hang_cau_hoi!$B$2:$K$142,10,0)</f>
        <v>Chương 5</v>
      </c>
      <c r="C399" t="str">
        <f>VLOOKUP(D399,Ngan_hang_cau_hoi!$B$2:$K$142,9,0)</f>
        <v>Dễ</v>
      </c>
      <c r="D399">
        <f t="shared" si="12"/>
        <v>80</v>
      </c>
      <c r="F399" t="str">
        <f>IF(L399=2,COUNTIFS($L$1:L399,2,$B$1:B399,"Chương 5"),"")</f>
        <v/>
      </c>
      <c r="G399" t="str">
        <f>VLOOKUP(D399,Ngan_hang_cau_hoi!$B$2:$K$142,L399,0)</f>
        <v>RAM lỗi</v>
      </c>
      <c r="H399" t="str">
        <f>IFERROR(VLOOKUP(J399,Ngan_hang_cau_hoi!$I$2:$L$142,4,0),"")</f>
        <v/>
      </c>
      <c r="J399" t="str">
        <f>IF(VLOOKUP(D399,Ngan_hang_cau_hoi!$B$2:$K$142,8,0)=G399,G399,"")</f>
        <v/>
      </c>
      <c r="L399">
        <f t="shared" si="13"/>
        <v>4</v>
      </c>
    </row>
    <row r="400" spans="1:12" x14ac:dyDescent="0.25">
      <c r="A400">
        <v>398</v>
      </c>
      <c r="B400" t="str">
        <f>VLOOKUP(D400,Ngan_hang_cau_hoi!$B$2:$K$142,10,0)</f>
        <v>Chương 5</v>
      </c>
      <c r="C400" t="str">
        <f>VLOOKUP(D400,Ngan_hang_cau_hoi!$B$2:$K$142,9,0)</f>
        <v>Dễ</v>
      </c>
      <c r="D400">
        <f t="shared" si="12"/>
        <v>80</v>
      </c>
      <c r="F400" t="str">
        <f>IF(L400=2,COUNTIFS($L$1:L400,2,$B$1:B400,"Chương 5"),"")</f>
        <v/>
      </c>
      <c r="G400" t="str">
        <f>VLOOKUP(D400,Ngan_hang_cau_hoi!$B$2:$K$142,L400,0)</f>
        <v>Máy không lên hình</v>
      </c>
      <c r="H400" t="str">
        <f>IFERROR(VLOOKUP(J400,Ngan_hang_cau_hoi!$I$2:$L$142,4,0),"")</f>
        <v/>
      </c>
      <c r="J400" t="str">
        <f>IF(VLOOKUP(D400,Ngan_hang_cau_hoi!$B$2:$K$142,8,0)=G400,G400,"")</f>
        <v/>
      </c>
      <c r="L400">
        <f t="shared" si="13"/>
        <v>5</v>
      </c>
    </row>
    <row r="401" spans="1:12" x14ac:dyDescent="0.25">
      <c r="A401">
        <v>399</v>
      </c>
      <c r="B401" t="str">
        <f>VLOOKUP(D401,Ngan_hang_cau_hoi!$B$2:$K$142,10,0)</f>
        <v>Chương 5</v>
      </c>
      <c r="C401" t="str">
        <f>VLOOKUP(D401,Ngan_hang_cau_hoi!$B$2:$K$142,9,0)</f>
        <v>Dễ</v>
      </c>
      <c r="D401">
        <f t="shared" si="12"/>
        <v>80</v>
      </c>
      <c r="F401" t="str">
        <f>IF(L401=2,COUNTIFS($L$1:L401,2,$B$1:B401,"Chương 5"),"")</f>
        <v/>
      </c>
      <c r="G401" t="str">
        <f>VLOOKUP(D401,Ngan_hang_cau_hoi!$B$2:$K$142,L401,0)</f>
        <v>Máy tính không khởi động</v>
      </c>
      <c r="H401" t="str">
        <f>IFERROR(VLOOKUP(J401,Ngan_hang_cau_hoi!$I$2:$L$142,4,0),"")</f>
        <v/>
      </c>
      <c r="J401" t="str">
        <f>IF(VLOOKUP(D401,Ngan_hang_cau_hoi!$B$2:$K$142,8,0)=G401,G401,"")</f>
        <v/>
      </c>
      <c r="L401">
        <f t="shared" si="13"/>
        <v>6</v>
      </c>
    </row>
    <row r="402" spans="1:12" x14ac:dyDescent="0.25">
      <c r="A402">
        <v>400</v>
      </c>
      <c r="B402" t="str">
        <f>VLOOKUP(D402,Ngan_hang_cau_hoi!$B$2:$K$142,10,0)</f>
        <v>Chương 5</v>
      </c>
      <c r="C402" t="str">
        <f>VLOOKUP(D402,Ngan_hang_cau_hoi!$B$2:$K$142,9,0)</f>
        <v>Dễ</v>
      </c>
      <c r="D402">
        <f t="shared" si="12"/>
        <v>81</v>
      </c>
      <c r="F402">
        <f>IF(L402=2,COUNTIFS($L$1:L402,2,$B$1:B402,"Chương 5"),"")</f>
        <v>5</v>
      </c>
      <c r="G402" t="str">
        <f>VLOOKUP(D402,Ngan_hang_cau_hoi!$B$2:$K$142,L402,0)</f>
        <v>Nếu backup được lưu trên cùng ổ cứng với dữ liệu gốc, rủi ro chính là:</v>
      </c>
      <c r="H402" t="str">
        <f>IFERROR(VLOOKUP(J402,Ngan_hang_cau_hoi!$I$2:$L$142,4,0),"")</f>
        <v/>
      </c>
      <c r="J402" t="str">
        <f>IF(VLOOKUP(D402,Ngan_hang_cau_hoi!$B$2:$K$142,8,0)=G402,G402,"")</f>
        <v/>
      </c>
      <c r="L402">
        <f t="shared" si="13"/>
        <v>2</v>
      </c>
    </row>
    <row r="403" spans="1:12" x14ac:dyDescent="0.25">
      <c r="A403">
        <v>401</v>
      </c>
      <c r="B403" t="str">
        <f>VLOOKUP(D403,Ngan_hang_cau_hoi!$B$2:$K$142,10,0)</f>
        <v>Chương 5</v>
      </c>
      <c r="C403" t="str">
        <f>VLOOKUP(D403,Ngan_hang_cau_hoi!$B$2:$K$142,9,0)</f>
        <v>Dễ</v>
      </c>
      <c r="D403">
        <f t="shared" si="12"/>
        <v>81</v>
      </c>
      <c r="F403" t="str">
        <f>IF(L403=2,COUNTIFS($L$1:L403,2,$B$1:B403,"Chương 5"),"")</f>
        <v/>
      </c>
      <c r="G403" t="str">
        <f>VLOOKUP(D403,Ngan_hang_cau_hoi!$B$2:$K$142,L403,0)</f>
        <v>Tốc độ chậm</v>
      </c>
      <c r="H403" t="str">
        <f>IFERROR(VLOOKUP(J403,Ngan_hang_cau_hoi!$I$2:$L$142,4,0),"")</f>
        <v/>
      </c>
      <c r="J403" t="str">
        <f>IF(VLOOKUP(D403,Ngan_hang_cau_hoi!$B$2:$K$142,8,0)=G403,G403,"")</f>
        <v/>
      </c>
      <c r="L403">
        <f t="shared" si="13"/>
        <v>3</v>
      </c>
    </row>
    <row r="404" spans="1:12" x14ac:dyDescent="0.25">
      <c r="A404">
        <v>402</v>
      </c>
      <c r="B404" t="str">
        <f>VLOOKUP(D404,Ngan_hang_cau_hoi!$B$2:$K$142,10,0)</f>
        <v>Chương 5</v>
      </c>
      <c r="C404" t="str">
        <f>VLOOKUP(D404,Ngan_hang_cau_hoi!$B$2:$K$142,9,0)</f>
        <v>Dễ</v>
      </c>
      <c r="D404">
        <f t="shared" si="12"/>
        <v>81</v>
      </c>
      <c r="F404" t="str">
        <f>IF(L404=2,COUNTIFS($L$1:L404,2,$B$1:B404,"Chương 5"),"")</f>
        <v/>
      </c>
      <c r="G404" t="str">
        <f>VLOOKUP(D404,Ngan_hang_cau_hoi!$B$2:$K$142,L404,0)</f>
        <v>Mất dữ liệu khi ổ cứng hỏng</v>
      </c>
      <c r="H404" t="str">
        <f>IFERROR(VLOOKUP(J404,Ngan_hang_cau_hoi!$I$2:$L$142,4,0),"")</f>
        <v>B</v>
      </c>
      <c r="J404" t="str">
        <f>IF(VLOOKUP(D404,Ngan_hang_cau_hoi!$B$2:$K$142,8,0)=G404,G404,"")</f>
        <v>Mất dữ liệu khi ổ cứng hỏng</v>
      </c>
      <c r="L404">
        <f t="shared" si="13"/>
        <v>4</v>
      </c>
    </row>
    <row r="405" spans="1:12" x14ac:dyDescent="0.25">
      <c r="A405">
        <v>403</v>
      </c>
      <c r="B405" t="str">
        <f>VLOOKUP(D405,Ngan_hang_cau_hoi!$B$2:$K$142,10,0)</f>
        <v>Chương 5</v>
      </c>
      <c r="C405" t="str">
        <f>VLOOKUP(D405,Ngan_hang_cau_hoi!$B$2:$K$142,9,0)</f>
        <v>Dễ</v>
      </c>
      <c r="D405">
        <f t="shared" si="12"/>
        <v>81</v>
      </c>
      <c r="F405" t="str">
        <f>IF(L405=2,COUNTIFS($L$1:L405,2,$B$1:B405,"Chương 5"),"")</f>
        <v/>
      </c>
      <c r="G405" t="str">
        <f>VLOOKUP(D405,Ngan_hang_cau_hoi!$B$2:$K$142,L405,0)</f>
        <v>Ổ cứng lỗi</v>
      </c>
      <c r="H405" t="str">
        <f>IFERROR(VLOOKUP(J405,Ngan_hang_cau_hoi!$I$2:$L$142,4,0),"")</f>
        <v/>
      </c>
      <c r="J405" t="str">
        <f>IF(VLOOKUP(D405,Ngan_hang_cau_hoi!$B$2:$K$142,8,0)=G405,G405,"")</f>
        <v/>
      </c>
      <c r="L405">
        <f t="shared" si="13"/>
        <v>5</v>
      </c>
    </row>
    <row r="406" spans="1:12" x14ac:dyDescent="0.25">
      <c r="A406">
        <v>404</v>
      </c>
      <c r="B406" t="str">
        <f>VLOOKUP(D406,Ngan_hang_cau_hoi!$B$2:$K$142,10,0)</f>
        <v>Chương 5</v>
      </c>
      <c r="C406" t="str">
        <f>VLOOKUP(D406,Ngan_hang_cau_hoi!$B$2:$K$142,9,0)</f>
        <v>Dễ</v>
      </c>
      <c r="D406">
        <f t="shared" si="12"/>
        <v>81</v>
      </c>
      <c r="F406" t="str">
        <f>IF(L406=2,COUNTIFS($L$1:L406,2,$B$1:B406,"Chương 5"),"")</f>
        <v/>
      </c>
      <c r="G406" t="str">
        <f>VLOOKUP(D406,Ngan_hang_cau_hoi!$B$2:$K$142,L406,0)</f>
        <v>Không phục hồi lại được</v>
      </c>
      <c r="H406" t="str">
        <f>IFERROR(VLOOKUP(J406,Ngan_hang_cau_hoi!$I$2:$L$142,4,0),"")</f>
        <v/>
      </c>
      <c r="J406" t="str">
        <f>IF(VLOOKUP(D406,Ngan_hang_cau_hoi!$B$2:$K$142,8,0)=G406,G406,"")</f>
        <v/>
      </c>
      <c r="L406">
        <f t="shared" si="13"/>
        <v>6</v>
      </c>
    </row>
    <row r="407" spans="1:12" x14ac:dyDescent="0.25">
      <c r="A407">
        <v>405</v>
      </c>
      <c r="B407" t="str">
        <f>VLOOKUP(D407,Ngan_hang_cau_hoi!$B$2:$K$142,10,0)</f>
        <v>Chương 5</v>
      </c>
      <c r="C407" t="str">
        <f>VLOOKUP(D407,Ngan_hang_cau_hoi!$B$2:$K$142,9,0)</f>
        <v>Dễ</v>
      </c>
      <c r="D407">
        <f t="shared" si="12"/>
        <v>82</v>
      </c>
      <c r="F407">
        <f>IF(L407=2,COUNTIFS($L$1:L407,2,$B$1:B407,"Chương 5"),"")</f>
        <v>6</v>
      </c>
      <c r="G407" t="str">
        <f>VLOOKUP(D407,Ngan_hang_cau_hoi!$B$2:$K$142,L407,0)</f>
        <v>Máy tính bấm nút nguồn nhưng không có tín hiệu gì (quạt không quay). Nguyên nhân có thể là:</v>
      </c>
      <c r="H407" t="str">
        <f>IFERROR(VLOOKUP(J407,Ngan_hang_cau_hoi!$I$2:$L$142,4,0),"")</f>
        <v/>
      </c>
      <c r="J407" t="str">
        <f>IF(VLOOKUP(D407,Ngan_hang_cau_hoi!$B$2:$K$142,8,0)=G407,G407,"")</f>
        <v/>
      </c>
      <c r="L407">
        <f t="shared" si="13"/>
        <v>2</v>
      </c>
    </row>
    <row r="408" spans="1:12" x14ac:dyDescent="0.25">
      <c r="A408">
        <v>406</v>
      </c>
      <c r="B408" t="str">
        <f>VLOOKUP(D408,Ngan_hang_cau_hoi!$B$2:$K$142,10,0)</f>
        <v>Chương 5</v>
      </c>
      <c r="C408" t="str">
        <f>VLOOKUP(D408,Ngan_hang_cau_hoi!$B$2:$K$142,9,0)</f>
        <v>Dễ</v>
      </c>
      <c r="D408">
        <f t="shared" si="12"/>
        <v>82</v>
      </c>
      <c r="F408" t="str">
        <f>IF(L408=2,COUNTIFS($L$1:L408,2,$B$1:B408,"Chương 5"),"")</f>
        <v/>
      </c>
      <c r="G408" t="str">
        <f>VLOOKUP(D408,Ngan_hang_cau_hoi!$B$2:$K$142,L408,0)</f>
        <v>RAM lỗi</v>
      </c>
      <c r="H408" t="str">
        <f>IFERROR(VLOOKUP(J408,Ngan_hang_cau_hoi!$I$2:$L$142,4,0),"")</f>
        <v/>
      </c>
      <c r="J408" t="str">
        <f>IF(VLOOKUP(D408,Ngan_hang_cau_hoi!$B$2:$K$142,8,0)=G408,G408,"")</f>
        <v/>
      </c>
      <c r="L408">
        <f t="shared" si="13"/>
        <v>3</v>
      </c>
    </row>
    <row r="409" spans="1:12" x14ac:dyDescent="0.25">
      <c r="A409">
        <v>407</v>
      </c>
      <c r="B409" t="str">
        <f>VLOOKUP(D409,Ngan_hang_cau_hoi!$B$2:$K$142,10,0)</f>
        <v>Chương 5</v>
      </c>
      <c r="C409" t="str">
        <f>VLOOKUP(D409,Ngan_hang_cau_hoi!$B$2:$K$142,9,0)</f>
        <v>Dễ</v>
      </c>
      <c r="D409">
        <f t="shared" si="12"/>
        <v>82</v>
      </c>
      <c r="F409" t="str">
        <f>IF(L409=2,COUNTIFS($L$1:L409,2,$B$1:B409,"Chương 5"),"")</f>
        <v/>
      </c>
      <c r="G409" t="str">
        <f>VLOOKUP(D409,Ngan_hang_cau_hoi!$B$2:$K$142,L409,0)</f>
        <v>PSU chưa cấp điện</v>
      </c>
      <c r="H409" t="str">
        <f>IFERROR(VLOOKUP(J409,Ngan_hang_cau_hoi!$I$2:$L$142,4,0),"")</f>
        <v>B</v>
      </c>
      <c r="J409" t="str">
        <f>IF(VLOOKUP(D409,Ngan_hang_cau_hoi!$B$2:$K$142,8,0)=G409,G409,"")</f>
        <v>PSU chưa cấp điện</v>
      </c>
      <c r="L409">
        <f t="shared" si="13"/>
        <v>4</v>
      </c>
    </row>
    <row r="410" spans="1:12" x14ac:dyDescent="0.25">
      <c r="A410">
        <v>408</v>
      </c>
      <c r="B410" t="str">
        <f>VLOOKUP(D410,Ngan_hang_cau_hoi!$B$2:$K$142,10,0)</f>
        <v>Chương 5</v>
      </c>
      <c r="C410" t="str">
        <f>VLOOKUP(D410,Ngan_hang_cau_hoi!$B$2:$K$142,9,0)</f>
        <v>Dễ</v>
      </c>
      <c r="D410">
        <f t="shared" si="12"/>
        <v>82</v>
      </c>
      <c r="F410" t="str">
        <f>IF(L410=2,COUNTIFS($L$1:L410,2,$B$1:B410,"Chương 5"),"")</f>
        <v/>
      </c>
      <c r="G410" t="str">
        <f>VLOOKUP(D410,Ngan_hang_cau_hoi!$B$2:$K$142,L410,0)</f>
        <v>GPU lỗi</v>
      </c>
      <c r="H410" t="str">
        <f>IFERROR(VLOOKUP(J410,Ngan_hang_cau_hoi!$I$2:$L$142,4,0),"")</f>
        <v/>
      </c>
      <c r="J410" t="str">
        <f>IF(VLOOKUP(D410,Ngan_hang_cau_hoi!$B$2:$K$142,8,0)=G410,G410,"")</f>
        <v/>
      </c>
      <c r="L410">
        <f t="shared" si="13"/>
        <v>5</v>
      </c>
    </row>
    <row r="411" spans="1:12" x14ac:dyDescent="0.25">
      <c r="A411">
        <v>409</v>
      </c>
      <c r="B411" t="str">
        <f>VLOOKUP(D411,Ngan_hang_cau_hoi!$B$2:$K$142,10,0)</f>
        <v>Chương 5</v>
      </c>
      <c r="C411" t="str">
        <f>VLOOKUP(D411,Ngan_hang_cau_hoi!$B$2:$K$142,9,0)</f>
        <v>Dễ</v>
      </c>
      <c r="D411">
        <f t="shared" si="12"/>
        <v>82</v>
      </c>
      <c r="F411" t="str">
        <f>IF(L411=2,COUNTIFS($L$1:L411,2,$B$1:B411,"Chương 5"),"")</f>
        <v/>
      </c>
      <c r="G411" t="str">
        <f>VLOOKUP(D411,Ngan_hang_cau_hoi!$B$2:$K$142,L411,0)</f>
        <v>SSD hỏng</v>
      </c>
      <c r="H411" t="str">
        <f>IFERROR(VLOOKUP(J411,Ngan_hang_cau_hoi!$I$2:$L$142,4,0),"")</f>
        <v/>
      </c>
      <c r="J411" t="str">
        <f>IF(VLOOKUP(D411,Ngan_hang_cau_hoi!$B$2:$K$142,8,0)=G411,G411,"")</f>
        <v/>
      </c>
      <c r="L411">
        <f t="shared" si="13"/>
        <v>6</v>
      </c>
    </row>
    <row r="412" spans="1:12" x14ac:dyDescent="0.25">
      <c r="A412">
        <v>410</v>
      </c>
      <c r="B412" t="str">
        <f>VLOOKUP(D412,Ngan_hang_cau_hoi!$B$2:$K$142,10,0)</f>
        <v>Chương 5</v>
      </c>
      <c r="C412" t="str">
        <f>VLOOKUP(D412,Ngan_hang_cau_hoi!$B$2:$K$142,9,0)</f>
        <v>Dễ</v>
      </c>
      <c r="D412">
        <f t="shared" si="12"/>
        <v>83</v>
      </c>
      <c r="F412">
        <f>IF(L412=2,COUNTIFS($L$1:L412,2,$B$1:B412,"Chương 5"),"")</f>
        <v>7</v>
      </c>
      <c r="G412" t="str">
        <f>VLOOKUP(D412,Ngan_hang_cau_hoi!$B$2:$K$142,L412,0)</f>
        <v>Máy không khởi động hệ điều hành Windows sau khi lắp SSD mới.
Nguyên nhân là gì?</v>
      </c>
      <c r="H412" t="str">
        <f>IFERROR(VLOOKUP(J412,Ngan_hang_cau_hoi!$I$2:$L$142,4,0),"")</f>
        <v/>
      </c>
      <c r="J412" t="str">
        <f>IF(VLOOKUP(D412,Ngan_hang_cau_hoi!$B$2:$K$142,8,0)=G412,G412,"")</f>
        <v/>
      </c>
      <c r="L412">
        <f t="shared" si="13"/>
        <v>2</v>
      </c>
    </row>
    <row r="413" spans="1:12" x14ac:dyDescent="0.25">
      <c r="A413">
        <v>411</v>
      </c>
      <c r="B413" t="str">
        <f>VLOOKUP(D413,Ngan_hang_cau_hoi!$B$2:$K$142,10,0)</f>
        <v>Chương 5</v>
      </c>
      <c r="C413" t="str">
        <f>VLOOKUP(D413,Ngan_hang_cau_hoi!$B$2:$K$142,9,0)</f>
        <v>Dễ</v>
      </c>
      <c r="D413">
        <f t="shared" si="12"/>
        <v>83</v>
      </c>
      <c r="F413" t="str">
        <f>IF(L413=2,COUNTIFS($L$1:L413,2,$B$1:B413,"Chương 5"),"")</f>
        <v/>
      </c>
      <c r="G413" t="str">
        <f>VLOOKUP(D413,Ngan_hang_cau_hoi!$B$2:$K$142,L413,0)</f>
        <v>Chưa cài hệ điều hành</v>
      </c>
      <c r="H413" t="str">
        <f>IFERROR(VLOOKUP(J413,Ngan_hang_cau_hoi!$I$2:$L$142,4,0),"")</f>
        <v>A</v>
      </c>
      <c r="J413" t="str">
        <f>IF(VLOOKUP(D413,Ngan_hang_cau_hoi!$B$2:$K$142,8,0)=G413,G413,"")</f>
        <v>Chưa cài hệ điều hành</v>
      </c>
      <c r="L413">
        <f t="shared" si="13"/>
        <v>3</v>
      </c>
    </row>
    <row r="414" spans="1:12" x14ac:dyDescent="0.25">
      <c r="A414">
        <v>412</v>
      </c>
      <c r="B414" t="str">
        <f>VLOOKUP(D414,Ngan_hang_cau_hoi!$B$2:$K$142,10,0)</f>
        <v>Chương 5</v>
      </c>
      <c r="C414" t="str">
        <f>VLOOKUP(D414,Ngan_hang_cau_hoi!$B$2:$K$142,9,0)</f>
        <v>Dễ</v>
      </c>
      <c r="D414">
        <f t="shared" si="12"/>
        <v>83</v>
      </c>
      <c r="F414" t="str">
        <f>IF(L414=2,COUNTIFS($L$1:L414,2,$B$1:B414,"Chương 5"),"")</f>
        <v/>
      </c>
      <c r="G414" t="str">
        <f>VLOOKUP(D414,Ngan_hang_cau_hoi!$B$2:$K$142,L414,0)</f>
        <v>Thiếu RAM</v>
      </c>
      <c r="H414" t="str">
        <f>IFERROR(VLOOKUP(J414,Ngan_hang_cau_hoi!$I$2:$L$142,4,0),"")</f>
        <v/>
      </c>
      <c r="J414" t="str">
        <f>IF(VLOOKUP(D414,Ngan_hang_cau_hoi!$B$2:$K$142,8,0)=G414,G414,"")</f>
        <v/>
      </c>
      <c r="L414">
        <f t="shared" si="13"/>
        <v>4</v>
      </c>
    </row>
    <row r="415" spans="1:12" x14ac:dyDescent="0.25">
      <c r="A415">
        <v>413</v>
      </c>
      <c r="B415" t="str">
        <f>VLOOKUP(D415,Ngan_hang_cau_hoi!$B$2:$K$142,10,0)</f>
        <v>Chương 5</v>
      </c>
      <c r="C415" t="str">
        <f>VLOOKUP(D415,Ngan_hang_cau_hoi!$B$2:$K$142,9,0)</f>
        <v>Dễ</v>
      </c>
      <c r="D415">
        <f t="shared" si="12"/>
        <v>83</v>
      </c>
      <c r="F415" t="str">
        <f>IF(L415=2,COUNTIFS($L$1:L415,2,$B$1:B415,"Chương 5"),"")</f>
        <v/>
      </c>
      <c r="G415" t="str">
        <f>VLOOKUP(D415,Ngan_hang_cau_hoi!$B$2:$K$142,L415,0)</f>
        <v>GPU lỗi</v>
      </c>
      <c r="H415" t="str">
        <f>IFERROR(VLOOKUP(J415,Ngan_hang_cau_hoi!$I$2:$L$142,4,0),"")</f>
        <v/>
      </c>
      <c r="J415" t="str">
        <f>IF(VLOOKUP(D415,Ngan_hang_cau_hoi!$B$2:$K$142,8,0)=G415,G415,"")</f>
        <v/>
      </c>
      <c r="L415">
        <f t="shared" si="13"/>
        <v>5</v>
      </c>
    </row>
    <row r="416" spans="1:12" x14ac:dyDescent="0.25">
      <c r="A416">
        <v>414</v>
      </c>
      <c r="B416" t="str">
        <f>VLOOKUP(D416,Ngan_hang_cau_hoi!$B$2:$K$142,10,0)</f>
        <v>Chương 5</v>
      </c>
      <c r="C416" t="str">
        <f>VLOOKUP(D416,Ngan_hang_cau_hoi!$B$2:$K$142,9,0)</f>
        <v>Dễ</v>
      </c>
      <c r="D416">
        <f t="shared" si="12"/>
        <v>83</v>
      </c>
      <c r="F416" t="str">
        <f>IF(L416=2,COUNTIFS($L$1:L416,2,$B$1:B416,"Chương 5"),"")</f>
        <v/>
      </c>
      <c r="G416" t="str">
        <f>VLOOKUP(D416,Ngan_hang_cau_hoi!$B$2:$K$142,L416,0)</f>
        <v>CPU lỗi</v>
      </c>
      <c r="H416" t="str">
        <f>IFERROR(VLOOKUP(J416,Ngan_hang_cau_hoi!$I$2:$L$142,4,0),"")</f>
        <v/>
      </c>
      <c r="J416" t="str">
        <f>IF(VLOOKUP(D416,Ngan_hang_cau_hoi!$B$2:$K$142,8,0)=G416,G416,"")</f>
        <v/>
      </c>
      <c r="L416">
        <f t="shared" si="13"/>
        <v>6</v>
      </c>
    </row>
    <row r="417" spans="1:12" x14ac:dyDescent="0.25">
      <c r="A417">
        <v>415</v>
      </c>
      <c r="B417" t="str">
        <f>VLOOKUP(D417,Ngan_hang_cau_hoi!$B$2:$K$142,10,0)</f>
        <v>Chương 5</v>
      </c>
      <c r="C417" t="str">
        <f>VLOOKUP(D417,Ngan_hang_cau_hoi!$B$2:$K$142,9,0)</f>
        <v>Dễ</v>
      </c>
      <c r="D417">
        <f t="shared" si="12"/>
        <v>84</v>
      </c>
      <c r="F417">
        <f>IF(L417=2,COUNTIFS($L$1:L417,2,$B$1:B417,"Chương 5"),"")</f>
        <v>8</v>
      </c>
      <c r="G417" t="str">
        <f>VLOOKUP(D417,Ngan_hang_cau_hoi!$B$2:$K$142,L417,0)</f>
        <v>Máy khởi động nhưng không nhận SSD NVM-E, nguyên nhân có thể:</v>
      </c>
      <c r="H417" t="str">
        <f>IFERROR(VLOOKUP(J417,Ngan_hang_cau_hoi!$I$2:$L$142,4,0),"")</f>
        <v/>
      </c>
      <c r="J417" t="str">
        <f>IF(VLOOKUP(D417,Ngan_hang_cau_hoi!$B$2:$K$142,8,0)=G417,G417,"")</f>
        <v/>
      </c>
      <c r="L417">
        <f t="shared" si="13"/>
        <v>2</v>
      </c>
    </row>
    <row r="418" spans="1:12" x14ac:dyDescent="0.25">
      <c r="A418">
        <v>416</v>
      </c>
      <c r="B418" t="str">
        <f>VLOOKUP(D418,Ngan_hang_cau_hoi!$B$2:$K$142,10,0)</f>
        <v>Chương 5</v>
      </c>
      <c r="C418" t="str">
        <f>VLOOKUP(D418,Ngan_hang_cau_hoi!$B$2:$K$142,9,0)</f>
        <v>Dễ</v>
      </c>
      <c r="D418">
        <f t="shared" si="12"/>
        <v>84</v>
      </c>
      <c r="F418" t="str">
        <f>IF(L418=2,COUNTIFS($L$1:L418,2,$B$1:B418,"Chương 5"),"")</f>
        <v/>
      </c>
      <c r="G418" t="str">
        <f>VLOOKUP(D418,Ngan_hang_cau_hoi!$B$2:$K$142,L418,0)</f>
        <v>Thiếu RAM</v>
      </c>
      <c r="H418" t="str">
        <f>IFERROR(VLOOKUP(J418,Ngan_hang_cau_hoi!$I$2:$L$142,4,0),"")</f>
        <v/>
      </c>
      <c r="J418" t="str">
        <f>IF(VLOOKUP(D418,Ngan_hang_cau_hoi!$B$2:$K$142,8,0)=G418,G418,"")</f>
        <v/>
      </c>
      <c r="L418">
        <f t="shared" si="13"/>
        <v>3</v>
      </c>
    </row>
    <row r="419" spans="1:12" x14ac:dyDescent="0.25">
      <c r="A419">
        <v>417</v>
      </c>
      <c r="B419" t="str">
        <f>VLOOKUP(D419,Ngan_hang_cau_hoi!$B$2:$K$142,10,0)</f>
        <v>Chương 5</v>
      </c>
      <c r="C419" t="str">
        <f>VLOOKUP(D419,Ngan_hang_cau_hoi!$B$2:$K$142,9,0)</f>
        <v>Dễ</v>
      </c>
      <c r="D419">
        <f t="shared" si="12"/>
        <v>84</v>
      </c>
      <c r="F419" t="str">
        <f>IF(L419=2,COUNTIFS($L$1:L419,2,$B$1:B419,"Chương 5"),"")</f>
        <v/>
      </c>
      <c r="G419" t="str">
        <f>VLOOKUP(D419,Ngan_hang_cau_hoi!$B$2:$K$142,L419,0)</f>
        <v>Lắp sai khe M.2</v>
      </c>
      <c r="H419" t="str">
        <f>IFERROR(VLOOKUP(J419,Ngan_hang_cau_hoi!$I$2:$L$142,4,0),"")</f>
        <v>B</v>
      </c>
      <c r="J419" t="str">
        <f>IF(VLOOKUP(D419,Ngan_hang_cau_hoi!$B$2:$K$142,8,0)=G419,G419,"")</f>
        <v>Lắp sai khe M.2</v>
      </c>
      <c r="L419">
        <f t="shared" si="13"/>
        <v>4</v>
      </c>
    </row>
    <row r="420" spans="1:12" x14ac:dyDescent="0.25">
      <c r="A420">
        <v>418</v>
      </c>
      <c r="B420" t="str">
        <f>VLOOKUP(D420,Ngan_hang_cau_hoi!$B$2:$K$142,10,0)</f>
        <v>Chương 5</v>
      </c>
      <c r="C420" t="str">
        <f>VLOOKUP(D420,Ngan_hang_cau_hoi!$B$2:$K$142,9,0)</f>
        <v>Dễ</v>
      </c>
      <c r="D420">
        <f t="shared" si="12"/>
        <v>84</v>
      </c>
      <c r="F420" t="str">
        <f>IF(L420=2,COUNTIFS($L$1:L420,2,$B$1:B420,"Chương 5"),"")</f>
        <v/>
      </c>
      <c r="G420" t="str">
        <f>VLOOKUP(D420,Ngan_hang_cau_hoi!$B$2:$K$142,L420,0)</f>
        <v>CPU quá nóng</v>
      </c>
      <c r="H420" t="str">
        <f>IFERROR(VLOOKUP(J420,Ngan_hang_cau_hoi!$I$2:$L$142,4,0),"")</f>
        <v/>
      </c>
      <c r="J420" t="str">
        <f>IF(VLOOKUP(D420,Ngan_hang_cau_hoi!$B$2:$K$142,8,0)=G420,G420,"")</f>
        <v/>
      </c>
      <c r="L420">
        <f t="shared" si="13"/>
        <v>5</v>
      </c>
    </row>
    <row r="421" spans="1:12" x14ac:dyDescent="0.25">
      <c r="A421">
        <v>419</v>
      </c>
      <c r="B421" t="str">
        <f>VLOOKUP(D421,Ngan_hang_cau_hoi!$B$2:$K$142,10,0)</f>
        <v>Chương 5</v>
      </c>
      <c r="C421" t="str">
        <f>VLOOKUP(D421,Ngan_hang_cau_hoi!$B$2:$K$142,9,0)</f>
        <v>Dễ</v>
      </c>
      <c r="D421">
        <f t="shared" si="12"/>
        <v>84</v>
      </c>
      <c r="F421" t="str">
        <f>IF(L421=2,COUNTIFS($L$1:L421,2,$B$1:B421,"Chương 5"),"")</f>
        <v/>
      </c>
      <c r="G421" t="str">
        <f>VLOOKUP(D421,Ngan_hang_cau_hoi!$B$2:$K$142,L421,0)</f>
        <v>Main hỏng</v>
      </c>
      <c r="H421" t="str">
        <f>IFERROR(VLOOKUP(J421,Ngan_hang_cau_hoi!$I$2:$L$142,4,0),"")</f>
        <v/>
      </c>
      <c r="J421" t="str">
        <f>IF(VLOOKUP(D421,Ngan_hang_cau_hoi!$B$2:$K$142,8,0)=G421,G421,"")</f>
        <v/>
      </c>
      <c r="L421">
        <f t="shared" si="13"/>
        <v>6</v>
      </c>
    </row>
    <row r="422" spans="1:12" x14ac:dyDescent="0.25">
      <c r="A422">
        <v>420</v>
      </c>
      <c r="B422" t="str">
        <f>VLOOKUP(D422,Ngan_hang_cau_hoi!$B$2:$K$142,10,0)</f>
        <v>Chương 5</v>
      </c>
      <c r="C422" t="str">
        <f>VLOOKUP(D422,Ngan_hang_cau_hoi!$B$2:$K$142,9,0)</f>
        <v>Dễ</v>
      </c>
      <c r="D422">
        <f t="shared" si="12"/>
        <v>85</v>
      </c>
      <c r="F422">
        <f>IF(L422=2,COUNTIFS($L$1:L422,2,$B$1:B422,"Chương 5"),"")</f>
        <v>9</v>
      </c>
      <c r="G422" t="str">
        <f>VLOOKUP(D422,Ngan_hang_cau_hoi!$B$2:$K$142,L422,0)</f>
        <v>Máy bật nhưng tự khởi động lại liên tục, nguyên nhân có thể:</v>
      </c>
      <c r="H422" t="str">
        <f>IFERROR(VLOOKUP(J422,Ngan_hang_cau_hoi!$I$2:$L$142,4,0),"")</f>
        <v/>
      </c>
      <c r="J422" t="str">
        <f>IF(VLOOKUP(D422,Ngan_hang_cau_hoi!$B$2:$K$142,8,0)=G422,G422,"")</f>
        <v/>
      </c>
      <c r="L422">
        <f t="shared" si="13"/>
        <v>2</v>
      </c>
    </row>
    <row r="423" spans="1:12" x14ac:dyDescent="0.25">
      <c r="A423">
        <v>421</v>
      </c>
      <c r="B423" t="str">
        <f>VLOOKUP(D423,Ngan_hang_cau_hoi!$B$2:$K$142,10,0)</f>
        <v>Chương 5</v>
      </c>
      <c r="C423" t="str">
        <f>VLOOKUP(D423,Ngan_hang_cau_hoi!$B$2:$K$142,9,0)</f>
        <v>Dễ</v>
      </c>
      <c r="D423">
        <f t="shared" si="12"/>
        <v>85</v>
      </c>
      <c r="F423" t="str">
        <f>IF(L423=2,COUNTIFS($L$1:L423,2,$B$1:B423,"Chương 5"),"")</f>
        <v/>
      </c>
      <c r="G423" t="str">
        <f>VLOOKUP(D423,Ngan_hang_cau_hoi!$B$2:$K$142,L423,0)</f>
        <v>PSU yếu</v>
      </c>
      <c r="H423" t="str">
        <f>IFERROR(VLOOKUP(J423,Ngan_hang_cau_hoi!$I$2:$L$142,4,0),"")</f>
        <v>A</v>
      </c>
      <c r="J423" t="str">
        <f>IF(VLOOKUP(D423,Ngan_hang_cau_hoi!$B$2:$K$142,8,0)=G423,G423,"")</f>
        <v>PSU yếu</v>
      </c>
      <c r="L423">
        <f t="shared" si="13"/>
        <v>3</v>
      </c>
    </row>
    <row r="424" spans="1:12" x14ac:dyDescent="0.25">
      <c r="A424">
        <v>422</v>
      </c>
      <c r="B424" t="str">
        <f>VLOOKUP(D424,Ngan_hang_cau_hoi!$B$2:$K$142,10,0)</f>
        <v>Chương 5</v>
      </c>
      <c r="C424" t="str">
        <f>VLOOKUP(D424,Ngan_hang_cau_hoi!$B$2:$K$142,9,0)</f>
        <v>Dễ</v>
      </c>
      <c r="D424">
        <f t="shared" si="12"/>
        <v>85</v>
      </c>
      <c r="F424" t="str">
        <f>IF(L424=2,COUNTIFS($L$1:L424,2,$B$1:B424,"Chương 5"),"")</f>
        <v/>
      </c>
      <c r="G424" t="str">
        <f>VLOOKUP(D424,Ngan_hang_cau_hoi!$B$2:$K$142,L424,0)</f>
        <v>Chuột lỗi</v>
      </c>
      <c r="H424" t="str">
        <f>IFERROR(VLOOKUP(J424,Ngan_hang_cau_hoi!$I$2:$L$142,4,0),"")</f>
        <v/>
      </c>
      <c r="J424" t="str">
        <f>IF(VLOOKUP(D424,Ngan_hang_cau_hoi!$B$2:$K$142,8,0)=G424,G424,"")</f>
        <v/>
      </c>
      <c r="L424">
        <f t="shared" si="13"/>
        <v>4</v>
      </c>
    </row>
    <row r="425" spans="1:12" x14ac:dyDescent="0.25">
      <c r="A425">
        <v>423</v>
      </c>
      <c r="B425" t="str">
        <f>VLOOKUP(D425,Ngan_hang_cau_hoi!$B$2:$K$142,10,0)</f>
        <v>Chương 5</v>
      </c>
      <c r="C425" t="str">
        <f>VLOOKUP(D425,Ngan_hang_cau_hoi!$B$2:$K$142,9,0)</f>
        <v>Dễ</v>
      </c>
      <c r="D425">
        <f t="shared" si="12"/>
        <v>85</v>
      </c>
      <c r="F425" t="str">
        <f>IF(L425=2,COUNTIFS($L$1:L425,2,$B$1:B425,"Chương 5"),"")</f>
        <v/>
      </c>
      <c r="G425" t="str">
        <f>VLOOKUP(D425,Ngan_hang_cau_hoi!$B$2:$K$142,L425,0)</f>
        <v>HDD lỗi</v>
      </c>
      <c r="H425" t="str">
        <f>IFERROR(VLOOKUP(J425,Ngan_hang_cau_hoi!$I$2:$L$142,4,0),"")</f>
        <v/>
      </c>
      <c r="J425" t="str">
        <f>IF(VLOOKUP(D425,Ngan_hang_cau_hoi!$B$2:$K$142,8,0)=G425,G425,"")</f>
        <v/>
      </c>
      <c r="L425">
        <f t="shared" si="13"/>
        <v>5</v>
      </c>
    </row>
    <row r="426" spans="1:12" x14ac:dyDescent="0.25">
      <c r="A426">
        <v>424</v>
      </c>
      <c r="B426" t="str">
        <f>VLOOKUP(D426,Ngan_hang_cau_hoi!$B$2:$K$142,10,0)</f>
        <v>Chương 5</v>
      </c>
      <c r="C426" t="str">
        <f>VLOOKUP(D426,Ngan_hang_cau_hoi!$B$2:$K$142,9,0)</f>
        <v>Dễ</v>
      </c>
      <c r="D426">
        <f t="shared" si="12"/>
        <v>85</v>
      </c>
      <c r="F426" t="str">
        <f>IF(L426=2,COUNTIFS($L$1:L426,2,$B$1:B426,"Chương 5"),"")</f>
        <v/>
      </c>
      <c r="G426" t="str">
        <f>VLOOKUP(D426,Ngan_hang_cau_hoi!$B$2:$K$142,L426,0)</f>
        <v>GPU lỗi</v>
      </c>
      <c r="H426" t="str">
        <f>IFERROR(VLOOKUP(J426,Ngan_hang_cau_hoi!$I$2:$L$142,4,0),"")</f>
        <v/>
      </c>
      <c r="J426" t="str">
        <f>IF(VLOOKUP(D426,Ngan_hang_cau_hoi!$B$2:$K$142,8,0)=G426,G426,"")</f>
        <v/>
      </c>
      <c r="L426">
        <f t="shared" si="13"/>
        <v>6</v>
      </c>
    </row>
    <row r="427" spans="1:12" x14ac:dyDescent="0.25">
      <c r="A427">
        <v>425</v>
      </c>
      <c r="B427" t="str">
        <f>VLOOKUP(D427,Ngan_hang_cau_hoi!$B$2:$K$142,10,0)</f>
        <v>Chương 5</v>
      </c>
      <c r="C427" t="str">
        <f>VLOOKUP(D427,Ngan_hang_cau_hoi!$B$2:$K$142,9,0)</f>
        <v>Dễ</v>
      </c>
      <c r="D427">
        <f t="shared" si="12"/>
        <v>86</v>
      </c>
      <c r="F427">
        <f>IF(L427=2,COUNTIFS($L$1:L427,2,$B$1:B427,"Chương 5"),"")</f>
        <v>10</v>
      </c>
      <c r="G427" t="str">
        <f>VLOOKUP(D427,Ngan_hang_cau_hoi!$B$2:$K$142,L427,0)</f>
        <v>Máy bật nhưng quạt quay mạnh, không lên hình:</v>
      </c>
      <c r="H427" t="str">
        <f>IFERROR(VLOOKUP(J427,Ngan_hang_cau_hoi!$I$2:$L$142,4,0),"")</f>
        <v/>
      </c>
      <c r="J427" t="str">
        <f>IF(VLOOKUP(D427,Ngan_hang_cau_hoi!$B$2:$K$142,8,0)=G427,G427,"")</f>
        <v/>
      </c>
      <c r="L427">
        <f t="shared" si="13"/>
        <v>2</v>
      </c>
    </row>
    <row r="428" spans="1:12" x14ac:dyDescent="0.25">
      <c r="A428">
        <v>426</v>
      </c>
      <c r="B428" t="str">
        <f>VLOOKUP(D428,Ngan_hang_cau_hoi!$B$2:$K$142,10,0)</f>
        <v>Chương 5</v>
      </c>
      <c r="C428" t="str">
        <f>VLOOKUP(D428,Ngan_hang_cau_hoi!$B$2:$K$142,9,0)</f>
        <v>Dễ</v>
      </c>
      <c r="D428">
        <f t="shared" si="12"/>
        <v>86</v>
      </c>
      <c r="F428" t="str">
        <f>IF(L428=2,COUNTIFS($L$1:L428,2,$B$1:B428,"Chương 5"),"")</f>
        <v/>
      </c>
      <c r="G428" t="str">
        <f>VLOOKUP(D428,Ngan_hang_cau_hoi!$B$2:$K$142,L428,0)</f>
        <v>RAM lỗi</v>
      </c>
      <c r="H428" t="str">
        <f>IFERROR(VLOOKUP(J428,Ngan_hang_cau_hoi!$I$2:$L$142,4,0),"")</f>
        <v>A</v>
      </c>
      <c r="J428" t="str">
        <f>IF(VLOOKUP(D428,Ngan_hang_cau_hoi!$B$2:$K$142,8,0)=G428,G428,"")</f>
        <v>RAM lỗi</v>
      </c>
      <c r="L428">
        <f t="shared" si="13"/>
        <v>3</v>
      </c>
    </row>
    <row r="429" spans="1:12" x14ac:dyDescent="0.25">
      <c r="A429">
        <v>427</v>
      </c>
      <c r="B429" t="str">
        <f>VLOOKUP(D429,Ngan_hang_cau_hoi!$B$2:$K$142,10,0)</f>
        <v>Chương 5</v>
      </c>
      <c r="C429" t="str">
        <f>VLOOKUP(D429,Ngan_hang_cau_hoi!$B$2:$K$142,9,0)</f>
        <v>Dễ</v>
      </c>
      <c r="D429">
        <f t="shared" si="12"/>
        <v>86</v>
      </c>
      <c r="F429" t="str">
        <f>IF(L429=2,COUNTIFS($L$1:L429,2,$B$1:B429,"Chương 5"),"")</f>
        <v/>
      </c>
      <c r="G429" t="str">
        <f>VLOOKUP(D429,Ngan_hang_cau_hoi!$B$2:$K$142,L429,0)</f>
        <v>SSD lỗi</v>
      </c>
      <c r="H429" t="str">
        <f>IFERROR(VLOOKUP(J429,Ngan_hang_cau_hoi!$I$2:$L$142,4,0),"")</f>
        <v/>
      </c>
      <c r="J429" t="str">
        <f>IF(VLOOKUP(D429,Ngan_hang_cau_hoi!$B$2:$K$142,8,0)=G429,G429,"")</f>
        <v/>
      </c>
      <c r="L429">
        <f t="shared" si="13"/>
        <v>4</v>
      </c>
    </row>
    <row r="430" spans="1:12" x14ac:dyDescent="0.25">
      <c r="A430">
        <v>428</v>
      </c>
      <c r="B430" t="str">
        <f>VLOOKUP(D430,Ngan_hang_cau_hoi!$B$2:$K$142,10,0)</f>
        <v>Chương 5</v>
      </c>
      <c r="C430" t="str">
        <f>VLOOKUP(D430,Ngan_hang_cau_hoi!$B$2:$K$142,9,0)</f>
        <v>Dễ</v>
      </c>
      <c r="D430">
        <f t="shared" si="12"/>
        <v>86</v>
      </c>
      <c r="F430" t="str">
        <f>IF(L430=2,COUNTIFS($L$1:L430,2,$B$1:B430,"Chương 5"),"")</f>
        <v/>
      </c>
      <c r="G430" t="str">
        <f>VLOOKUP(D430,Ngan_hang_cau_hoi!$B$2:$K$142,L430,0)</f>
        <v>CPU lỗi</v>
      </c>
      <c r="H430" t="str">
        <f>IFERROR(VLOOKUP(J430,Ngan_hang_cau_hoi!$I$2:$L$142,4,0),"")</f>
        <v/>
      </c>
      <c r="J430" t="str">
        <f>IF(VLOOKUP(D430,Ngan_hang_cau_hoi!$B$2:$K$142,8,0)=G430,G430,"")</f>
        <v/>
      </c>
      <c r="L430">
        <f t="shared" si="13"/>
        <v>5</v>
      </c>
    </row>
    <row r="431" spans="1:12" x14ac:dyDescent="0.25">
      <c r="A431">
        <v>429</v>
      </c>
      <c r="B431" t="str">
        <f>VLOOKUP(D431,Ngan_hang_cau_hoi!$B$2:$K$142,10,0)</f>
        <v>Chương 5</v>
      </c>
      <c r="C431" t="str">
        <f>VLOOKUP(D431,Ngan_hang_cau_hoi!$B$2:$K$142,9,0)</f>
        <v>Dễ</v>
      </c>
      <c r="D431">
        <f t="shared" si="12"/>
        <v>86</v>
      </c>
      <c r="F431" t="str">
        <f>IF(L431=2,COUNTIFS($L$1:L431,2,$B$1:B431,"Chương 5"),"")</f>
        <v/>
      </c>
      <c r="G431" t="str">
        <f>VLOOKUP(D431,Ngan_hang_cau_hoi!$B$2:$K$142,L431,0)</f>
        <v>PSU chưa cấp điện</v>
      </c>
      <c r="H431" t="str">
        <f>IFERROR(VLOOKUP(J431,Ngan_hang_cau_hoi!$I$2:$L$142,4,0),"")</f>
        <v/>
      </c>
      <c r="J431" t="str">
        <f>IF(VLOOKUP(D431,Ngan_hang_cau_hoi!$B$2:$K$142,8,0)=G431,G431,"")</f>
        <v/>
      </c>
      <c r="L431">
        <f t="shared" si="13"/>
        <v>6</v>
      </c>
    </row>
    <row r="432" spans="1:12" x14ac:dyDescent="0.25">
      <c r="A432">
        <v>430</v>
      </c>
      <c r="B432" t="str">
        <f>VLOOKUP(D432,Ngan_hang_cau_hoi!$B$2:$K$142,10,0)</f>
        <v>Chương 5</v>
      </c>
      <c r="C432" t="str">
        <f>VLOOKUP(D432,Ngan_hang_cau_hoi!$B$2:$K$142,9,0)</f>
        <v>Dễ</v>
      </c>
      <c r="D432">
        <f t="shared" si="12"/>
        <v>87</v>
      </c>
      <c r="F432">
        <f>IF(L432=2,COUNTIFS($L$1:L432,2,$B$1:B432,"Chương 5"),"")</f>
        <v>11</v>
      </c>
      <c r="G432" t="str">
        <f>VLOOKUP(D432,Ngan_hang_cau_hoi!$B$2:$K$142,L432,0)</f>
        <v>Máy bật nhưng không nhận ổ cứng, nguyên nhân có thể là:</v>
      </c>
      <c r="H432" t="str">
        <f>IFERROR(VLOOKUP(J432,Ngan_hang_cau_hoi!$I$2:$L$142,4,0),"")</f>
        <v/>
      </c>
      <c r="J432" t="str">
        <f>IF(VLOOKUP(D432,Ngan_hang_cau_hoi!$B$2:$K$142,8,0)=G432,G432,"")</f>
        <v/>
      </c>
      <c r="L432">
        <f t="shared" si="13"/>
        <v>2</v>
      </c>
    </row>
    <row r="433" spans="1:12" x14ac:dyDescent="0.25">
      <c r="A433">
        <v>431</v>
      </c>
      <c r="B433" t="str">
        <f>VLOOKUP(D433,Ngan_hang_cau_hoi!$B$2:$K$142,10,0)</f>
        <v>Chương 5</v>
      </c>
      <c r="C433" t="str">
        <f>VLOOKUP(D433,Ngan_hang_cau_hoi!$B$2:$K$142,9,0)</f>
        <v>Dễ</v>
      </c>
      <c r="D433">
        <f t="shared" si="12"/>
        <v>87</v>
      </c>
      <c r="F433" t="str">
        <f>IF(L433=2,COUNTIFS($L$1:L433,2,$B$1:B433,"Chương 5"),"")</f>
        <v/>
      </c>
      <c r="G433" t="str">
        <f>VLOOKUP(D433,Ngan_hang_cau_hoi!$B$2:$K$142,L433,0)</f>
        <v>SATA chưa cắm</v>
      </c>
      <c r="H433" t="str">
        <f>IFERROR(VLOOKUP(J433,Ngan_hang_cau_hoi!$I$2:$L$142,4,0),"")</f>
        <v>A</v>
      </c>
      <c r="J433" t="str">
        <f>IF(VLOOKUP(D433,Ngan_hang_cau_hoi!$B$2:$K$142,8,0)=G433,G433,"")</f>
        <v>SATA chưa cắm</v>
      </c>
      <c r="L433">
        <f t="shared" si="13"/>
        <v>3</v>
      </c>
    </row>
    <row r="434" spans="1:12" x14ac:dyDescent="0.25">
      <c r="A434">
        <v>432</v>
      </c>
      <c r="B434" t="str">
        <f>VLOOKUP(D434,Ngan_hang_cau_hoi!$B$2:$K$142,10,0)</f>
        <v>Chương 5</v>
      </c>
      <c r="C434" t="str">
        <f>VLOOKUP(D434,Ngan_hang_cau_hoi!$B$2:$K$142,9,0)</f>
        <v>Dễ</v>
      </c>
      <c r="D434">
        <f t="shared" si="12"/>
        <v>87</v>
      </c>
      <c r="F434" t="str">
        <f>IF(L434=2,COUNTIFS($L$1:L434,2,$B$1:B434,"Chương 5"),"")</f>
        <v/>
      </c>
      <c r="G434" t="str">
        <f>VLOOKUP(D434,Ngan_hang_cau_hoi!$B$2:$K$142,L434,0)</f>
        <v>GPU lỗi</v>
      </c>
      <c r="H434" t="str">
        <f>IFERROR(VLOOKUP(J434,Ngan_hang_cau_hoi!$I$2:$L$142,4,0),"")</f>
        <v/>
      </c>
      <c r="J434" t="str">
        <f>IF(VLOOKUP(D434,Ngan_hang_cau_hoi!$B$2:$K$142,8,0)=G434,G434,"")</f>
        <v/>
      </c>
      <c r="L434">
        <f t="shared" si="13"/>
        <v>4</v>
      </c>
    </row>
    <row r="435" spans="1:12" x14ac:dyDescent="0.25">
      <c r="A435">
        <v>433</v>
      </c>
      <c r="B435" t="str">
        <f>VLOOKUP(D435,Ngan_hang_cau_hoi!$B$2:$K$142,10,0)</f>
        <v>Chương 5</v>
      </c>
      <c r="C435" t="str">
        <f>VLOOKUP(D435,Ngan_hang_cau_hoi!$B$2:$K$142,9,0)</f>
        <v>Dễ</v>
      </c>
      <c r="D435">
        <f t="shared" si="12"/>
        <v>87</v>
      </c>
      <c r="F435" t="str">
        <f>IF(L435=2,COUNTIFS($L$1:L435,2,$B$1:B435,"Chương 5"),"")</f>
        <v/>
      </c>
      <c r="G435" t="str">
        <f>VLOOKUP(D435,Ngan_hang_cau_hoi!$B$2:$K$142,L435,0)</f>
        <v>RAM lỗi</v>
      </c>
      <c r="H435" t="str">
        <f>IFERROR(VLOOKUP(J435,Ngan_hang_cau_hoi!$I$2:$L$142,4,0),"")</f>
        <v/>
      </c>
      <c r="J435" t="str">
        <f>IF(VLOOKUP(D435,Ngan_hang_cau_hoi!$B$2:$K$142,8,0)=G435,G435,"")</f>
        <v/>
      </c>
      <c r="L435">
        <f t="shared" si="13"/>
        <v>5</v>
      </c>
    </row>
    <row r="436" spans="1:12" x14ac:dyDescent="0.25">
      <c r="A436">
        <v>434</v>
      </c>
      <c r="B436" t="str">
        <f>VLOOKUP(D436,Ngan_hang_cau_hoi!$B$2:$K$142,10,0)</f>
        <v>Chương 5</v>
      </c>
      <c r="C436" t="str">
        <f>VLOOKUP(D436,Ngan_hang_cau_hoi!$B$2:$K$142,9,0)</f>
        <v>Dễ</v>
      </c>
      <c r="D436">
        <f t="shared" si="12"/>
        <v>87</v>
      </c>
      <c r="F436" t="str">
        <f>IF(L436=2,COUNTIFS($L$1:L436,2,$B$1:B436,"Chương 5"),"")</f>
        <v/>
      </c>
      <c r="G436" t="str">
        <f>VLOOKUP(D436,Ngan_hang_cau_hoi!$B$2:$K$142,L436,0)</f>
        <v>CPU lỗi</v>
      </c>
      <c r="H436" t="str">
        <f>IFERROR(VLOOKUP(J436,Ngan_hang_cau_hoi!$I$2:$L$142,4,0),"")</f>
        <v/>
      </c>
      <c r="J436" t="str">
        <f>IF(VLOOKUP(D436,Ngan_hang_cau_hoi!$B$2:$K$142,8,0)=G436,G436,"")</f>
        <v/>
      </c>
      <c r="L436">
        <f t="shared" si="13"/>
        <v>6</v>
      </c>
    </row>
    <row r="437" spans="1:12" x14ac:dyDescent="0.25">
      <c r="A437">
        <v>435</v>
      </c>
      <c r="B437" t="str">
        <f>VLOOKUP(D437,Ngan_hang_cau_hoi!$B$2:$K$142,10,0)</f>
        <v>Chương 5</v>
      </c>
      <c r="C437" t="str">
        <f>VLOOKUP(D437,Ngan_hang_cau_hoi!$B$2:$K$142,9,0)</f>
        <v>Dễ</v>
      </c>
      <c r="D437">
        <f t="shared" si="12"/>
        <v>88</v>
      </c>
      <c r="F437">
        <f>IF(L437=2,COUNTIFS($L$1:L437,2,$B$1:B437,"Chương 5"),"")</f>
        <v>12</v>
      </c>
      <c r="G437" t="str">
        <f>VLOOKUP(D437,Ngan_hang_cau_hoi!$B$2:$K$142,L437,0)</f>
        <v>Máy bật nguồn nhưng không lên hình, nguyên nhân phổ biến nhất là:</v>
      </c>
      <c r="H437" t="str">
        <f>IFERROR(VLOOKUP(J437,Ngan_hang_cau_hoi!$I$2:$L$142,4,0),"")</f>
        <v/>
      </c>
      <c r="J437" t="str">
        <f>IF(VLOOKUP(D437,Ngan_hang_cau_hoi!$B$2:$K$142,8,0)=G437,G437,"")</f>
        <v/>
      </c>
      <c r="L437">
        <f t="shared" si="13"/>
        <v>2</v>
      </c>
    </row>
    <row r="438" spans="1:12" x14ac:dyDescent="0.25">
      <c r="A438">
        <v>436</v>
      </c>
      <c r="B438" t="str">
        <f>VLOOKUP(D438,Ngan_hang_cau_hoi!$B$2:$K$142,10,0)</f>
        <v>Chương 5</v>
      </c>
      <c r="C438" t="str">
        <f>VLOOKUP(D438,Ngan_hang_cau_hoi!$B$2:$K$142,9,0)</f>
        <v>Dễ</v>
      </c>
      <c r="D438">
        <f t="shared" si="12"/>
        <v>88</v>
      </c>
      <c r="F438" t="str">
        <f>IF(L438=2,COUNTIFS($L$1:L438,2,$B$1:B438,"Chương 5"),"")</f>
        <v/>
      </c>
      <c r="G438" t="str">
        <f>VLOOKUP(D438,Ngan_hang_cau_hoi!$B$2:$K$142,L438,0)</f>
        <v>RAM lỏng</v>
      </c>
      <c r="H438" t="str">
        <f>IFERROR(VLOOKUP(J438,Ngan_hang_cau_hoi!$I$2:$L$142,4,0),"")</f>
        <v>A</v>
      </c>
      <c r="J438" t="str">
        <f>IF(VLOOKUP(D438,Ngan_hang_cau_hoi!$B$2:$K$142,8,0)=G438,G438,"")</f>
        <v>RAM lỏng</v>
      </c>
      <c r="L438">
        <f t="shared" si="13"/>
        <v>3</v>
      </c>
    </row>
    <row r="439" spans="1:12" x14ac:dyDescent="0.25">
      <c r="A439">
        <v>437</v>
      </c>
      <c r="B439" t="str">
        <f>VLOOKUP(D439,Ngan_hang_cau_hoi!$B$2:$K$142,10,0)</f>
        <v>Chương 5</v>
      </c>
      <c r="C439" t="str">
        <f>VLOOKUP(D439,Ngan_hang_cau_hoi!$B$2:$K$142,9,0)</f>
        <v>Dễ</v>
      </c>
      <c r="D439">
        <f t="shared" si="12"/>
        <v>88</v>
      </c>
      <c r="F439" t="str">
        <f>IF(L439=2,COUNTIFS($L$1:L439,2,$B$1:B439,"Chương 5"),"")</f>
        <v/>
      </c>
      <c r="G439" t="str">
        <f>VLOOKUP(D439,Ngan_hang_cau_hoi!$B$2:$K$142,L439,0)</f>
        <v>HDD hỏng</v>
      </c>
      <c r="H439" t="str">
        <f>IFERROR(VLOOKUP(J439,Ngan_hang_cau_hoi!$I$2:$L$142,4,0),"")</f>
        <v/>
      </c>
      <c r="J439" t="str">
        <f>IF(VLOOKUP(D439,Ngan_hang_cau_hoi!$B$2:$K$142,8,0)=G439,G439,"")</f>
        <v/>
      </c>
      <c r="L439">
        <f t="shared" si="13"/>
        <v>4</v>
      </c>
    </row>
    <row r="440" spans="1:12" x14ac:dyDescent="0.25">
      <c r="A440">
        <v>438</v>
      </c>
      <c r="B440" t="str">
        <f>VLOOKUP(D440,Ngan_hang_cau_hoi!$B$2:$K$142,10,0)</f>
        <v>Chương 5</v>
      </c>
      <c r="C440" t="str">
        <f>VLOOKUP(D440,Ngan_hang_cau_hoi!$B$2:$K$142,9,0)</f>
        <v>Dễ</v>
      </c>
      <c r="D440">
        <f t="shared" si="12"/>
        <v>88</v>
      </c>
      <c r="F440" t="str">
        <f>IF(L440=2,COUNTIFS($L$1:L440,2,$B$1:B440,"Chương 5"),"")</f>
        <v/>
      </c>
      <c r="G440" t="str">
        <f>VLOOKUP(D440,Ngan_hang_cau_hoi!$B$2:$K$142,L440,0)</f>
        <v>Chuột lỗi</v>
      </c>
      <c r="H440" t="str">
        <f>IFERROR(VLOOKUP(J440,Ngan_hang_cau_hoi!$I$2:$L$142,4,0),"")</f>
        <v/>
      </c>
      <c r="J440" t="str">
        <f>IF(VLOOKUP(D440,Ngan_hang_cau_hoi!$B$2:$K$142,8,0)=G440,G440,"")</f>
        <v/>
      </c>
      <c r="L440">
        <f t="shared" si="13"/>
        <v>5</v>
      </c>
    </row>
    <row r="441" spans="1:12" x14ac:dyDescent="0.25">
      <c r="A441">
        <v>439</v>
      </c>
      <c r="B441" t="str">
        <f>VLOOKUP(D441,Ngan_hang_cau_hoi!$B$2:$K$142,10,0)</f>
        <v>Chương 5</v>
      </c>
      <c r="C441" t="str">
        <f>VLOOKUP(D441,Ngan_hang_cau_hoi!$B$2:$K$142,9,0)</f>
        <v>Dễ</v>
      </c>
      <c r="D441">
        <f t="shared" si="12"/>
        <v>88</v>
      </c>
      <c r="F441" t="str">
        <f>IF(L441=2,COUNTIFS($L$1:L441,2,$B$1:B441,"Chương 5"),"")</f>
        <v/>
      </c>
      <c r="G441" t="str">
        <f>VLOOKUP(D441,Ngan_hang_cau_hoi!$B$2:$K$142,L441,0)</f>
        <v>SSD lỗi</v>
      </c>
      <c r="H441" t="str">
        <f>IFERROR(VLOOKUP(J441,Ngan_hang_cau_hoi!$I$2:$L$142,4,0),"")</f>
        <v/>
      </c>
      <c r="J441" t="str">
        <f>IF(VLOOKUP(D441,Ngan_hang_cau_hoi!$B$2:$K$142,8,0)=G441,G441,"")</f>
        <v/>
      </c>
      <c r="L441">
        <f t="shared" si="13"/>
        <v>6</v>
      </c>
    </row>
    <row r="442" spans="1:12" x14ac:dyDescent="0.25">
      <c r="A442">
        <v>440</v>
      </c>
      <c r="B442" t="str">
        <f>VLOOKUP(D442,Ngan_hang_cau_hoi!$B$2:$K$142,10,0)</f>
        <v>Chương 5</v>
      </c>
      <c r="C442" t="str">
        <f>VLOOKUP(D442,Ngan_hang_cau_hoi!$B$2:$K$142,9,0)</f>
        <v>Dễ</v>
      </c>
      <c r="D442">
        <f t="shared" si="12"/>
        <v>89</v>
      </c>
      <c r="F442">
        <f>IF(L442=2,COUNTIFS($L$1:L442,2,$B$1:B442,"Chương 5"),"")</f>
        <v>13</v>
      </c>
      <c r="G442" t="str">
        <f>VLOOKUP(D442,Ngan_hang_cau_hoi!$B$2:$K$142,L442,0)</f>
        <v>Khi lắp RAM có tốc độ bus cao hơn mainboard hỗ trợ thì</v>
      </c>
      <c r="H442" t="str">
        <f>IFERROR(VLOOKUP(J442,Ngan_hang_cau_hoi!$I$2:$L$142,4,0),"")</f>
        <v/>
      </c>
      <c r="J442" t="str">
        <f>IF(VLOOKUP(D442,Ngan_hang_cau_hoi!$B$2:$K$142,8,0)=G442,G442,"")</f>
        <v/>
      </c>
      <c r="L442">
        <f t="shared" si="13"/>
        <v>2</v>
      </c>
    </row>
    <row r="443" spans="1:12" x14ac:dyDescent="0.25">
      <c r="A443">
        <v>441</v>
      </c>
      <c r="B443" t="str">
        <f>VLOOKUP(D443,Ngan_hang_cau_hoi!$B$2:$K$142,10,0)</f>
        <v>Chương 5</v>
      </c>
      <c r="C443" t="str">
        <f>VLOOKUP(D443,Ngan_hang_cau_hoi!$B$2:$K$142,9,0)</f>
        <v>Dễ</v>
      </c>
      <c r="D443">
        <f t="shared" si="12"/>
        <v>89</v>
      </c>
      <c r="F443" t="str">
        <f>IF(L443=2,COUNTIFS($L$1:L443,2,$B$1:B443,"Chương 5"),"")</f>
        <v/>
      </c>
      <c r="G443" t="str">
        <f>VLOOKUP(D443,Ngan_hang_cau_hoi!$B$2:$K$142,L443,0)</f>
        <v>RAM chạy với tốc độ bus mà mainboard hỗ trợ.</v>
      </c>
      <c r="H443" t="str">
        <f>IFERROR(VLOOKUP(J443,Ngan_hang_cau_hoi!$I$2:$L$142,4,0),"")</f>
        <v>A</v>
      </c>
      <c r="J443" t="str">
        <f>IF(VLOOKUP(D443,Ngan_hang_cau_hoi!$B$2:$K$142,8,0)=G443,G443,"")</f>
        <v>RAM chạy với tốc độ bus mà mainboard hỗ trợ.</v>
      </c>
      <c r="L443">
        <f t="shared" si="13"/>
        <v>3</v>
      </c>
    </row>
    <row r="444" spans="1:12" x14ac:dyDescent="0.25">
      <c r="A444">
        <v>442</v>
      </c>
      <c r="B444" t="str">
        <f>VLOOKUP(D444,Ngan_hang_cau_hoi!$B$2:$K$142,10,0)</f>
        <v>Chương 5</v>
      </c>
      <c r="C444" t="str">
        <f>VLOOKUP(D444,Ngan_hang_cau_hoi!$B$2:$K$142,9,0)</f>
        <v>Dễ</v>
      </c>
      <c r="D444">
        <f t="shared" si="12"/>
        <v>89</v>
      </c>
      <c r="F444" t="str">
        <f>IF(L444=2,COUNTIFS($L$1:L444,2,$B$1:B444,"Chương 5"),"")</f>
        <v/>
      </c>
      <c r="G444" t="str">
        <f>VLOOKUP(D444,Ngan_hang_cau_hoi!$B$2:$K$142,L444,0)</f>
        <v>RAM chạy với tốc độ bus tối da của nó.</v>
      </c>
      <c r="H444" t="str">
        <f>IFERROR(VLOOKUP(J444,Ngan_hang_cau_hoi!$I$2:$L$142,4,0),"")</f>
        <v/>
      </c>
      <c r="J444" t="str">
        <f>IF(VLOOKUP(D444,Ngan_hang_cau_hoi!$B$2:$K$142,8,0)=G444,G444,"")</f>
        <v/>
      </c>
      <c r="L444">
        <f t="shared" si="13"/>
        <v>4</v>
      </c>
    </row>
    <row r="445" spans="1:12" x14ac:dyDescent="0.25">
      <c r="A445">
        <v>443</v>
      </c>
      <c r="B445" t="str">
        <f>VLOOKUP(D445,Ngan_hang_cau_hoi!$B$2:$K$142,10,0)</f>
        <v>Chương 5</v>
      </c>
      <c r="C445" t="str">
        <f>VLOOKUP(D445,Ngan_hang_cau_hoi!$B$2:$K$142,9,0)</f>
        <v>Dễ</v>
      </c>
      <c r="D445">
        <f t="shared" si="12"/>
        <v>89</v>
      </c>
      <c r="F445" t="str">
        <f>IF(L445=2,COUNTIFS($L$1:L445,2,$B$1:B445,"Chương 5"),"")</f>
        <v/>
      </c>
      <c r="G445" t="str">
        <f>VLOOKUP(D445,Ngan_hang_cau_hoi!$B$2:$K$142,L445,0)</f>
        <v>RAM hỏng</v>
      </c>
      <c r="H445" t="str">
        <f>IFERROR(VLOOKUP(J445,Ngan_hang_cau_hoi!$I$2:$L$142,4,0),"")</f>
        <v/>
      </c>
      <c r="J445" t="str">
        <f>IF(VLOOKUP(D445,Ngan_hang_cau_hoi!$B$2:$K$142,8,0)=G445,G445,"")</f>
        <v/>
      </c>
      <c r="L445">
        <f t="shared" si="13"/>
        <v>5</v>
      </c>
    </row>
    <row r="446" spans="1:12" x14ac:dyDescent="0.25">
      <c r="A446">
        <v>444</v>
      </c>
      <c r="B446" t="str">
        <f>VLOOKUP(D446,Ngan_hang_cau_hoi!$B$2:$K$142,10,0)</f>
        <v>Chương 5</v>
      </c>
      <c r="C446" t="str">
        <f>VLOOKUP(D446,Ngan_hang_cau_hoi!$B$2:$K$142,9,0)</f>
        <v>Dễ</v>
      </c>
      <c r="D446">
        <f t="shared" si="12"/>
        <v>89</v>
      </c>
      <c r="F446" t="str">
        <f>IF(L446=2,COUNTIFS($L$1:L446,2,$B$1:B446,"Chương 5"),"")</f>
        <v/>
      </c>
      <c r="G446" t="str">
        <f>VLOOKUP(D446,Ngan_hang_cau_hoi!$B$2:$K$142,L446,0)</f>
        <v>Main hỏng</v>
      </c>
      <c r="H446" t="str">
        <f>IFERROR(VLOOKUP(J446,Ngan_hang_cau_hoi!$I$2:$L$142,4,0),"")</f>
        <v/>
      </c>
      <c r="J446" t="str">
        <f>IF(VLOOKUP(D446,Ngan_hang_cau_hoi!$B$2:$K$142,8,0)=G446,G446,"")</f>
        <v/>
      </c>
      <c r="L446">
        <f t="shared" si="13"/>
        <v>6</v>
      </c>
    </row>
    <row r="447" spans="1:12" x14ac:dyDescent="0.25">
      <c r="A447">
        <v>445</v>
      </c>
      <c r="B447" t="str">
        <f>VLOOKUP(D447,Ngan_hang_cau_hoi!$B$2:$K$142,10,0)</f>
        <v>Chương 5</v>
      </c>
      <c r="C447" t="str">
        <f>VLOOKUP(D447,Ngan_hang_cau_hoi!$B$2:$K$142,9,0)</f>
        <v>Dễ</v>
      </c>
      <c r="D447">
        <f t="shared" si="12"/>
        <v>90</v>
      </c>
      <c r="F447">
        <f>IF(L447=2,COUNTIFS($L$1:L447,2,$B$1:B447,"Chương 5"),"")</f>
        <v>14</v>
      </c>
      <c r="G447" t="str">
        <f>VLOOKUP(D447,Ngan_hang_cau_hoi!$B$2:$K$142,L447,0)</f>
        <v>Khi bật máy, BIOS phát ra 1 tiếng bíp ngắn, điều này thường có nghĩa là:</v>
      </c>
      <c r="H447" t="str">
        <f>IFERROR(VLOOKUP(J447,Ngan_hang_cau_hoi!$I$2:$L$142,4,0),"")</f>
        <v/>
      </c>
      <c r="J447" t="str">
        <f>IF(VLOOKUP(D447,Ngan_hang_cau_hoi!$B$2:$K$142,8,0)=G447,G447,"")</f>
        <v/>
      </c>
      <c r="L447">
        <f t="shared" si="13"/>
        <v>2</v>
      </c>
    </row>
    <row r="448" spans="1:12" x14ac:dyDescent="0.25">
      <c r="A448">
        <v>446</v>
      </c>
      <c r="B448" t="str">
        <f>VLOOKUP(D448,Ngan_hang_cau_hoi!$B$2:$K$142,10,0)</f>
        <v>Chương 5</v>
      </c>
      <c r="C448" t="str">
        <f>VLOOKUP(D448,Ngan_hang_cau_hoi!$B$2:$K$142,9,0)</f>
        <v>Dễ</v>
      </c>
      <c r="D448">
        <f t="shared" si="12"/>
        <v>90</v>
      </c>
      <c r="F448" t="str">
        <f>IF(L448=2,COUNTIFS($L$1:L448,2,$B$1:B448,"Chương 5"),"")</f>
        <v/>
      </c>
      <c r="G448" t="str">
        <f>VLOOKUP(D448,Ngan_hang_cau_hoi!$B$2:$K$142,L448,0)</f>
        <v>Lỗi ổ cứng</v>
      </c>
      <c r="H448" t="str">
        <f>IFERROR(VLOOKUP(J448,Ngan_hang_cau_hoi!$I$2:$L$142,4,0),"")</f>
        <v/>
      </c>
      <c r="J448" t="str">
        <f>IF(VLOOKUP(D448,Ngan_hang_cau_hoi!$B$2:$K$142,8,0)=G448,G448,"")</f>
        <v/>
      </c>
      <c r="L448">
        <f t="shared" si="13"/>
        <v>3</v>
      </c>
    </row>
    <row r="449" spans="1:12" x14ac:dyDescent="0.25">
      <c r="A449">
        <v>447</v>
      </c>
      <c r="B449" t="str">
        <f>VLOOKUP(D449,Ngan_hang_cau_hoi!$B$2:$K$142,10,0)</f>
        <v>Chương 5</v>
      </c>
      <c r="C449" t="str">
        <f>VLOOKUP(D449,Ngan_hang_cau_hoi!$B$2:$K$142,9,0)</f>
        <v>Dễ</v>
      </c>
      <c r="D449">
        <f t="shared" si="12"/>
        <v>90</v>
      </c>
      <c r="F449" t="str">
        <f>IF(L449=2,COUNTIFS($L$1:L449,2,$B$1:B449,"Chương 5"),"")</f>
        <v/>
      </c>
      <c r="G449" t="str">
        <f>VLOOKUP(D449,Ngan_hang_cau_hoi!$B$2:$K$142,L449,0)</f>
        <v>Lỗi RAM</v>
      </c>
      <c r="H449" t="str">
        <f>IFERROR(VLOOKUP(J449,Ngan_hang_cau_hoi!$I$2:$L$142,4,0),"")</f>
        <v/>
      </c>
      <c r="J449" t="str">
        <f>IF(VLOOKUP(D449,Ngan_hang_cau_hoi!$B$2:$K$142,8,0)=G449,G449,"")</f>
        <v/>
      </c>
      <c r="L449">
        <f t="shared" si="13"/>
        <v>4</v>
      </c>
    </row>
    <row r="450" spans="1:12" x14ac:dyDescent="0.25">
      <c r="A450">
        <v>448</v>
      </c>
      <c r="B450" t="str">
        <f>VLOOKUP(D450,Ngan_hang_cau_hoi!$B$2:$K$142,10,0)</f>
        <v>Chương 5</v>
      </c>
      <c r="C450" t="str">
        <f>VLOOKUP(D450,Ngan_hang_cau_hoi!$B$2:$K$142,9,0)</f>
        <v>Dễ</v>
      </c>
      <c r="D450">
        <f t="shared" si="12"/>
        <v>90</v>
      </c>
      <c r="F450" t="str">
        <f>IF(L450=2,COUNTIFS($L$1:L450,2,$B$1:B450,"Chương 5"),"")</f>
        <v/>
      </c>
      <c r="G450" t="str">
        <f>VLOOKUP(D450,Ngan_hang_cau_hoi!$B$2:$K$142,L450,0)</f>
        <v>Hệ thống khởi động bình thường</v>
      </c>
      <c r="H450" t="str">
        <f>IFERROR(VLOOKUP(J450,Ngan_hang_cau_hoi!$I$2:$L$142,4,0),"")</f>
        <v>C</v>
      </c>
      <c r="J450" t="str">
        <f>IF(VLOOKUP(D450,Ngan_hang_cau_hoi!$B$2:$K$142,8,0)=G450,G450,"")</f>
        <v>Hệ thống khởi động bình thường</v>
      </c>
      <c r="L450">
        <f t="shared" si="13"/>
        <v>5</v>
      </c>
    </row>
    <row r="451" spans="1:12" x14ac:dyDescent="0.25">
      <c r="A451">
        <v>449</v>
      </c>
      <c r="B451" t="str">
        <f>VLOOKUP(D451,Ngan_hang_cau_hoi!$B$2:$K$142,10,0)</f>
        <v>Chương 5</v>
      </c>
      <c r="C451" t="str">
        <f>VLOOKUP(D451,Ngan_hang_cau_hoi!$B$2:$K$142,9,0)</f>
        <v>Dễ</v>
      </c>
      <c r="D451">
        <f t="shared" ref="D451:D514" si="14">INT(A451/5)+1</f>
        <v>90</v>
      </c>
      <c r="F451" t="str">
        <f>IF(L451=2,COUNTIFS($L$1:L451,2,$B$1:B451,"Chương 5"),"")</f>
        <v/>
      </c>
      <c r="G451" t="str">
        <f>VLOOKUP(D451,Ngan_hang_cau_hoi!$B$2:$K$142,L451,0)</f>
        <v>BIOS chưa update</v>
      </c>
      <c r="H451" t="str">
        <f>IFERROR(VLOOKUP(J451,Ngan_hang_cau_hoi!$I$2:$L$142,4,0),"")</f>
        <v/>
      </c>
      <c r="J451" t="str">
        <f>IF(VLOOKUP(D451,Ngan_hang_cau_hoi!$B$2:$K$142,8,0)=G451,G451,"")</f>
        <v/>
      </c>
      <c r="L451">
        <f t="shared" ref="L451:L514" si="15">IF(L450=6,2,L450+1)</f>
        <v>6</v>
      </c>
    </row>
    <row r="452" spans="1:12" x14ac:dyDescent="0.25">
      <c r="A452">
        <v>450</v>
      </c>
      <c r="B452" t="str">
        <f>VLOOKUP(D452,Ngan_hang_cau_hoi!$B$2:$K$142,10,0)</f>
        <v>Chương 5</v>
      </c>
      <c r="C452" t="str">
        <f>VLOOKUP(D452,Ngan_hang_cau_hoi!$B$2:$K$142,9,0)</f>
        <v>Dễ</v>
      </c>
      <c r="D452">
        <f t="shared" si="14"/>
        <v>91</v>
      </c>
      <c r="F452">
        <f>IF(L452=2,COUNTIFS($L$1:L452,2,$B$1:B452,"Chương 5"),"")</f>
        <v>15</v>
      </c>
      <c r="G452" t="str">
        <f>VLOOKUP(D452,Ngan_hang_cau_hoi!$B$2:$K$142,L452,0)</f>
        <v>Khe cắm RAM trên mainboard được gọi là gì?</v>
      </c>
      <c r="H452" t="str">
        <f>IFERROR(VLOOKUP(J452,Ngan_hang_cau_hoi!$I$2:$L$142,4,0),"")</f>
        <v/>
      </c>
      <c r="J452" t="str">
        <f>IF(VLOOKUP(D452,Ngan_hang_cau_hoi!$B$2:$K$142,8,0)=G452,G452,"")</f>
        <v/>
      </c>
      <c r="L452">
        <f t="shared" si="15"/>
        <v>2</v>
      </c>
    </row>
    <row r="453" spans="1:12" x14ac:dyDescent="0.25">
      <c r="A453">
        <v>451</v>
      </c>
      <c r="B453" t="str">
        <f>VLOOKUP(D453,Ngan_hang_cau_hoi!$B$2:$K$142,10,0)</f>
        <v>Chương 5</v>
      </c>
      <c r="C453" t="str">
        <f>VLOOKUP(D453,Ngan_hang_cau_hoi!$B$2:$K$142,9,0)</f>
        <v>Dễ</v>
      </c>
      <c r="D453">
        <f t="shared" si="14"/>
        <v>91</v>
      </c>
      <c r="F453" t="str">
        <f>IF(L453=2,COUNTIFS($L$1:L453,2,$B$1:B453,"Chương 5"),"")</f>
        <v/>
      </c>
      <c r="G453" t="str">
        <f>VLOOKUP(D453,Ngan_hang_cau_hoi!$B$2:$K$142,L453,0)</f>
        <v>PCIe slot</v>
      </c>
      <c r="H453" t="str">
        <f>IFERROR(VLOOKUP(J453,Ngan_hang_cau_hoi!$I$2:$L$142,4,0),"")</f>
        <v/>
      </c>
      <c r="J453" t="str">
        <f>IF(VLOOKUP(D453,Ngan_hang_cau_hoi!$B$2:$K$142,8,0)=G453,G453,"")</f>
        <v/>
      </c>
      <c r="L453">
        <f t="shared" si="15"/>
        <v>3</v>
      </c>
    </row>
    <row r="454" spans="1:12" x14ac:dyDescent="0.25">
      <c r="A454">
        <v>452</v>
      </c>
      <c r="B454" t="str">
        <f>VLOOKUP(D454,Ngan_hang_cau_hoi!$B$2:$K$142,10,0)</f>
        <v>Chương 5</v>
      </c>
      <c r="C454" t="str">
        <f>VLOOKUP(D454,Ngan_hang_cau_hoi!$B$2:$K$142,9,0)</f>
        <v>Dễ</v>
      </c>
      <c r="D454">
        <f t="shared" si="14"/>
        <v>91</v>
      </c>
      <c r="F454" t="str">
        <f>IF(L454=2,COUNTIFS($L$1:L454,2,$B$1:B454,"Chương 5"),"")</f>
        <v/>
      </c>
      <c r="G454" t="str">
        <f>VLOOKUP(D454,Ngan_hang_cau_hoi!$B$2:$K$142,L454,0)</f>
        <v>DIMM slot</v>
      </c>
      <c r="H454" t="str">
        <f>IFERROR(VLOOKUP(J454,Ngan_hang_cau_hoi!$I$2:$L$142,4,0),"")</f>
        <v>B</v>
      </c>
      <c r="J454" t="str">
        <f>IF(VLOOKUP(D454,Ngan_hang_cau_hoi!$B$2:$K$142,8,0)=G454,G454,"")</f>
        <v>DIMM slot</v>
      </c>
      <c r="L454">
        <f t="shared" si="15"/>
        <v>4</v>
      </c>
    </row>
    <row r="455" spans="1:12" x14ac:dyDescent="0.25">
      <c r="A455">
        <v>453</v>
      </c>
      <c r="B455" t="str">
        <f>VLOOKUP(D455,Ngan_hang_cau_hoi!$B$2:$K$142,10,0)</f>
        <v>Chương 5</v>
      </c>
      <c r="C455" t="str">
        <f>VLOOKUP(D455,Ngan_hang_cau_hoi!$B$2:$K$142,9,0)</f>
        <v>Dễ</v>
      </c>
      <c r="D455">
        <f t="shared" si="14"/>
        <v>91</v>
      </c>
      <c r="F455" t="str">
        <f>IF(L455=2,COUNTIFS($L$1:L455,2,$B$1:B455,"Chương 5"),"")</f>
        <v/>
      </c>
      <c r="G455" t="str">
        <f>VLOOKUP(D455,Ngan_hang_cau_hoi!$B$2:$K$142,L455,0)</f>
        <v>SATA port</v>
      </c>
      <c r="H455" t="str">
        <f>IFERROR(VLOOKUP(J455,Ngan_hang_cau_hoi!$I$2:$L$142,4,0),"")</f>
        <v/>
      </c>
      <c r="J455" t="str">
        <f>IF(VLOOKUP(D455,Ngan_hang_cau_hoi!$B$2:$K$142,8,0)=G455,G455,"")</f>
        <v/>
      </c>
      <c r="L455">
        <f t="shared" si="15"/>
        <v>5</v>
      </c>
    </row>
    <row r="456" spans="1:12" x14ac:dyDescent="0.25">
      <c r="A456">
        <v>454</v>
      </c>
      <c r="B456" t="str">
        <f>VLOOKUP(D456,Ngan_hang_cau_hoi!$B$2:$K$142,10,0)</f>
        <v>Chương 5</v>
      </c>
      <c r="C456" t="str">
        <f>VLOOKUP(D456,Ngan_hang_cau_hoi!$B$2:$K$142,9,0)</f>
        <v>Dễ</v>
      </c>
      <c r="D456">
        <f t="shared" si="14"/>
        <v>91</v>
      </c>
      <c r="F456" t="str">
        <f>IF(L456=2,COUNTIFS($L$1:L456,2,$B$1:B456,"Chương 5"),"")</f>
        <v/>
      </c>
      <c r="G456" t="str">
        <f>VLOOKUP(D456,Ngan_hang_cau_hoi!$B$2:$K$142,L456,0)</f>
        <v>CPU socket</v>
      </c>
      <c r="H456" t="str">
        <f>IFERROR(VLOOKUP(J456,Ngan_hang_cau_hoi!$I$2:$L$142,4,0),"")</f>
        <v/>
      </c>
      <c r="J456" t="str">
        <f>IF(VLOOKUP(D456,Ngan_hang_cau_hoi!$B$2:$K$142,8,0)=G456,G456,"")</f>
        <v/>
      </c>
      <c r="L456">
        <f t="shared" si="15"/>
        <v>6</v>
      </c>
    </row>
    <row r="457" spans="1:12" x14ac:dyDescent="0.25">
      <c r="A457">
        <v>455</v>
      </c>
      <c r="B457" t="str">
        <f>VLOOKUP(D457,Ngan_hang_cau_hoi!$B$2:$K$142,10,0)</f>
        <v>Chương 5</v>
      </c>
      <c r="C457" t="str">
        <f>VLOOKUP(D457,Ngan_hang_cau_hoi!$B$2:$K$142,9,0)</f>
        <v>Dễ</v>
      </c>
      <c r="D457">
        <f t="shared" si="14"/>
        <v>92</v>
      </c>
      <c r="F457">
        <f>IF(L457=2,COUNTIFS($L$1:L457,2,$B$1:B457,"Chương 5"),"")</f>
        <v>16</v>
      </c>
      <c r="G457" t="str">
        <f>VLOOKUP(D457,Ngan_hang_cau_hoi!$B$2:$K$142,L457,0)</f>
        <v>Hiện tượng gì nếu bật máy tính không cắm RAM ?</v>
      </c>
      <c r="H457" t="str">
        <f>IFERROR(VLOOKUP(J457,Ngan_hang_cau_hoi!$I$2:$L$142,4,0),"")</f>
        <v/>
      </c>
      <c r="J457" t="str">
        <f>IF(VLOOKUP(D457,Ngan_hang_cau_hoi!$B$2:$K$142,8,0)=G457,G457,"")</f>
        <v/>
      </c>
      <c r="L457">
        <f t="shared" si="15"/>
        <v>2</v>
      </c>
    </row>
    <row r="458" spans="1:12" x14ac:dyDescent="0.25">
      <c r="A458">
        <v>456</v>
      </c>
      <c r="B458" t="str">
        <f>VLOOKUP(D458,Ngan_hang_cau_hoi!$B$2:$K$142,10,0)</f>
        <v>Chương 5</v>
      </c>
      <c r="C458" t="str">
        <f>VLOOKUP(D458,Ngan_hang_cau_hoi!$B$2:$K$142,9,0)</f>
        <v>Dễ</v>
      </c>
      <c r="D458">
        <f t="shared" si="14"/>
        <v>92</v>
      </c>
      <c r="F458" t="str">
        <f>IF(L458=2,COUNTIFS($L$1:L458,2,$B$1:B458,"Chương 5"),"")</f>
        <v/>
      </c>
      <c r="G458" t="str">
        <f>VLOOKUP(D458,Ngan_hang_cau_hoi!$B$2:$K$142,L458,0)</f>
        <v>Máy không boot</v>
      </c>
      <c r="H458" t="str">
        <f>IFERROR(VLOOKUP(J458,Ngan_hang_cau_hoi!$I$2:$L$142,4,0),"")</f>
        <v>A</v>
      </c>
      <c r="J458" t="str">
        <f>IF(VLOOKUP(D458,Ngan_hang_cau_hoi!$B$2:$K$142,8,0)=G458,G458,"")</f>
        <v>Máy không boot</v>
      </c>
      <c r="L458">
        <f t="shared" si="15"/>
        <v>3</v>
      </c>
    </row>
    <row r="459" spans="1:12" x14ac:dyDescent="0.25">
      <c r="A459">
        <v>457</v>
      </c>
      <c r="B459" t="str">
        <f>VLOOKUP(D459,Ngan_hang_cau_hoi!$B$2:$K$142,10,0)</f>
        <v>Chương 5</v>
      </c>
      <c r="C459" t="str">
        <f>VLOOKUP(D459,Ngan_hang_cau_hoi!$B$2:$K$142,9,0)</f>
        <v>Dễ</v>
      </c>
      <c r="D459">
        <f t="shared" si="14"/>
        <v>92</v>
      </c>
      <c r="F459" t="str">
        <f>IF(L459=2,COUNTIFS($L$1:L459,2,$B$1:B459,"Chương 5"),"")</f>
        <v/>
      </c>
      <c r="G459" t="str">
        <f>VLOOKUP(D459,Ngan_hang_cau_hoi!$B$2:$K$142,L459,0)</f>
        <v>Máy chạy chậm</v>
      </c>
      <c r="H459" t="str">
        <f>IFERROR(VLOOKUP(J459,Ngan_hang_cau_hoi!$I$2:$L$142,4,0),"")</f>
        <v/>
      </c>
      <c r="J459" t="str">
        <f>IF(VLOOKUP(D459,Ngan_hang_cau_hoi!$B$2:$K$142,8,0)=G459,G459,"")</f>
        <v/>
      </c>
      <c r="L459">
        <f t="shared" si="15"/>
        <v>4</v>
      </c>
    </row>
    <row r="460" spans="1:12" x14ac:dyDescent="0.25">
      <c r="A460">
        <v>458</v>
      </c>
      <c r="B460" t="str">
        <f>VLOOKUP(D460,Ngan_hang_cau_hoi!$B$2:$K$142,10,0)</f>
        <v>Chương 5</v>
      </c>
      <c r="C460" t="str">
        <f>VLOOKUP(D460,Ngan_hang_cau_hoi!$B$2:$K$142,9,0)</f>
        <v>Dễ</v>
      </c>
      <c r="D460">
        <f t="shared" si="14"/>
        <v>92</v>
      </c>
      <c r="F460" t="str">
        <f>IF(L460=2,COUNTIFS($L$1:L460,2,$B$1:B460,"Chương 5"),"")</f>
        <v/>
      </c>
      <c r="G460" t="str">
        <f>VLOOKUP(D460,Ngan_hang_cau_hoi!$B$2:$K$142,L460,0)</f>
        <v>Máy không khởi động được</v>
      </c>
      <c r="H460" t="str">
        <f>IFERROR(VLOOKUP(J460,Ngan_hang_cau_hoi!$I$2:$L$142,4,0),"")</f>
        <v/>
      </c>
      <c r="J460" t="str">
        <f>IF(VLOOKUP(D460,Ngan_hang_cau_hoi!$B$2:$K$142,8,0)=G460,G460,"")</f>
        <v/>
      </c>
      <c r="L460">
        <f t="shared" si="15"/>
        <v>5</v>
      </c>
    </row>
    <row r="461" spans="1:12" x14ac:dyDescent="0.25">
      <c r="A461">
        <v>459</v>
      </c>
      <c r="B461" t="str">
        <f>VLOOKUP(D461,Ngan_hang_cau_hoi!$B$2:$K$142,10,0)</f>
        <v>Chương 5</v>
      </c>
      <c r="C461" t="str">
        <f>VLOOKUP(D461,Ngan_hang_cau_hoi!$B$2:$K$142,9,0)</f>
        <v>Dễ</v>
      </c>
      <c r="D461">
        <f t="shared" si="14"/>
        <v>92</v>
      </c>
      <c r="F461" t="str">
        <f>IF(L461=2,COUNTIFS($L$1:L461,2,$B$1:B461,"Chương 5"),"")</f>
        <v/>
      </c>
      <c r="G461" t="str">
        <f>VLOOKUP(D461,Ngan_hang_cau_hoi!$B$2:$K$142,L461,0)</f>
        <v>Máy không lên hình</v>
      </c>
      <c r="H461" t="str">
        <f>IFERROR(VLOOKUP(J461,Ngan_hang_cau_hoi!$I$2:$L$142,4,0),"")</f>
        <v/>
      </c>
      <c r="J461" t="str">
        <f>IF(VLOOKUP(D461,Ngan_hang_cau_hoi!$B$2:$K$142,8,0)=G461,G461,"")</f>
        <v/>
      </c>
      <c r="L461">
        <f t="shared" si="15"/>
        <v>6</v>
      </c>
    </row>
    <row r="462" spans="1:12" x14ac:dyDescent="0.25">
      <c r="A462">
        <v>460</v>
      </c>
      <c r="B462" t="str">
        <f>VLOOKUP(D462,Ngan_hang_cau_hoi!$B$2:$K$142,10,0)</f>
        <v>Chương 5</v>
      </c>
      <c r="C462" t="str">
        <f>VLOOKUP(D462,Ngan_hang_cau_hoi!$B$2:$K$142,9,0)</f>
        <v>Dễ</v>
      </c>
      <c r="D462">
        <f t="shared" si="14"/>
        <v>93</v>
      </c>
      <c r="F462">
        <f>IF(L462=2,COUNTIFS($L$1:L462,2,$B$1:B462,"Chương 5"),"")</f>
        <v>17</v>
      </c>
      <c r="G462" t="str">
        <f>VLOOKUP(D462,Ngan_hang_cau_hoi!$B$2:$K$142,L462,0)</f>
        <v>Để cài đặt phần mềm cần quyền:</v>
      </c>
      <c r="H462" t="str">
        <f>IFERROR(VLOOKUP(J462,Ngan_hang_cau_hoi!$I$2:$L$142,4,0),"")</f>
        <v/>
      </c>
      <c r="J462" t="str">
        <f>IF(VLOOKUP(D462,Ngan_hang_cau_hoi!$B$2:$K$142,8,0)=G462,G462,"")</f>
        <v/>
      </c>
      <c r="L462">
        <f t="shared" si="15"/>
        <v>2</v>
      </c>
    </row>
    <row r="463" spans="1:12" x14ac:dyDescent="0.25">
      <c r="A463">
        <v>461</v>
      </c>
      <c r="B463" t="str">
        <f>VLOOKUP(D463,Ngan_hang_cau_hoi!$B$2:$K$142,10,0)</f>
        <v>Chương 5</v>
      </c>
      <c r="C463" t="str">
        <f>VLOOKUP(D463,Ngan_hang_cau_hoi!$B$2:$K$142,9,0)</f>
        <v>Dễ</v>
      </c>
      <c r="D463">
        <f t="shared" si="14"/>
        <v>93</v>
      </c>
      <c r="F463" t="str">
        <f>IF(L463=2,COUNTIFS($L$1:L463,2,$B$1:B463,"Chương 5"),"")</f>
        <v/>
      </c>
      <c r="G463" t="str">
        <f>VLOOKUP(D463,Ngan_hang_cau_hoi!$B$2:$K$142,L463,0)</f>
        <v>User</v>
      </c>
      <c r="H463" t="str">
        <f>IFERROR(VLOOKUP(J463,Ngan_hang_cau_hoi!$I$2:$L$142,4,0),"")</f>
        <v/>
      </c>
      <c r="J463" t="str">
        <f>IF(VLOOKUP(D463,Ngan_hang_cau_hoi!$B$2:$K$142,8,0)=G463,G463,"")</f>
        <v/>
      </c>
      <c r="L463">
        <f t="shared" si="15"/>
        <v>3</v>
      </c>
    </row>
    <row r="464" spans="1:12" x14ac:dyDescent="0.25">
      <c r="A464">
        <v>462</v>
      </c>
      <c r="B464" t="str">
        <f>VLOOKUP(D464,Ngan_hang_cau_hoi!$B$2:$K$142,10,0)</f>
        <v>Chương 5</v>
      </c>
      <c r="C464" t="str">
        <f>VLOOKUP(D464,Ngan_hang_cau_hoi!$B$2:$K$142,9,0)</f>
        <v>Dễ</v>
      </c>
      <c r="D464">
        <f t="shared" si="14"/>
        <v>93</v>
      </c>
      <c r="F464" t="str">
        <f>IF(L464=2,COUNTIFS($L$1:L464,2,$B$1:B464,"Chương 5"),"")</f>
        <v/>
      </c>
      <c r="G464" t="str">
        <f>VLOOKUP(D464,Ngan_hang_cau_hoi!$B$2:$K$142,L464,0)</f>
        <v>Admin</v>
      </c>
      <c r="H464" t="str">
        <f>IFERROR(VLOOKUP(J464,Ngan_hang_cau_hoi!$I$2:$L$142,4,0),"")</f>
        <v>B</v>
      </c>
      <c r="J464" t="str">
        <f>IF(VLOOKUP(D464,Ngan_hang_cau_hoi!$B$2:$K$142,8,0)=G464,G464,"")</f>
        <v>Admin</v>
      </c>
      <c r="L464">
        <f t="shared" si="15"/>
        <v>4</v>
      </c>
    </row>
    <row r="465" spans="1:12" x14ac:dyDescent="0.25">
      <c r="A465">
        <v>463</v>
      </c>
      <c r="B465" t="str">
        <f>VLOOKUP(D465,Ngan_hang_cau_hoi!$B$2:$K$142,10,0)</f>
        <v>Chương 5</v>
      </c>
      <c r="C465" t="str">
        <f>VLOOKUP(D465,Ngan_hang_cau_hoi!$B$2:$K$142,9,0)</f>
        <v>Dễ</v>
      </c>
      <c r="D465">
        <f t="shared" si="14"/>
        <v>93</v>
      </c>
      <c r="F465" t="str">
        <f>IF(L465=2,COUNTIFS($L$1:L465,2,$B$1:B465,"Chương 5"),"")</f>
        <v/>
      </c>
      <c r="G465" t="str">
        <f>VLOOKUP(D465,Ngan_hang_cau_hoi!$B$2:$K$142,L465,0)</f>
        <v>Guest</v>
      </c>
      <c r="H465" t="str">
        <f>IFERROR(VLOOKUP(J465,Ngan_hang_cau_hoi!$I$2:$L$142,4,0),"")</f>
        <v/>
      </c>
      <c r="J465" t="str">
        <f>IF(VLOOKUP(D465,Ngan_hang_cau_hoi!$B$2:$K$142,8,0)=G465,G465,"")</f>
        <v/>
      </c>
      <c r="L465">
        <f t="shared" si="15"/>
        <v>5</v>
      </c>
    </row>
    <row r="466" spans="1:12" x14ac:dyDescent="0.25">
      <c r="A466">
        <v>464</v>
      </c>
      <c r="B466" t="str">
        <f>VLOOKUP(D466,Ngan_hang_cau_hoi!$B$2:$K$142,10,0)</f>
        <v>Chương 5</v>
      </c>
      <c r="C466" t="str">
        <f>VLOOKUP(D466,Ngan_hang_cau_hoi!$B$2:$K$142,9,0)</f>
        <v>Dễ</v>
      </c>
      <c r="D466">
        <f t="shared" si="14"/>
        <v>93</v>
      </c>
      <c r="F466" t="str">
        <f>IF(L466=2,COUNTIFS($L$1:L466,2,$B$1:B466,"Chương 5"),"")</f>
        <v/>
      </c>
      <c r="G466" t="str">
        <f>VLOOKUP(D466,Ngan_hang_cau_hoi!$B$2:$K$142,L466,0)</f>
        <v>Network</v>
      </c>
      <c r="H466" t="str">
        <f>IFERROR(VLOOKUP(J466,Ngan_hang_cau_hoi!$I$2:$L$142,4,0),"")</f>
        <v/>
      </c>
      <c r="J466" t="str">
        <f>IF(VLOOKUP(D466,Ngan_hang_cau_hoi!$B$2:$K$142,8,0)=G466,G466,"")</f>
        <v/>
      </c>
      <c r="L466">
        <f t="shared" si="15"/>
        <v>6</v>
      </c>
    </row>
    <row r="467" spans="1:12" x14ac:dyDescent="0.25">
      <c r="A467">
        <v>465</v>
      </c>
      <c r="B467" t="str">
        <f>VLOOKUP(D467,Ngan_hang_cau_hoi!$B$2:$K$142,10,0)</f>
        <v>Chương 5</v>
      </c>
      <c r="C467" t="str">
        <f>VLOOKUP(D467,Ngan_hang_cau_hoi!$B$2:$K$142,9,0)</f>
        <v>Trung bình</v>
      </c>
      <c r="D467">
        <f t="shared" si="14"/>
        <v>94</v>
      </c>
      <c r="F467">
        <f>IF(L467=2,COUNTIFS($L$1:L467,2,$B$1:B467,"Chương 5"),"")</f>
        <v>18</v>
      </c>
      <c r="G467" t="str">
        <f>VLOOKUP(D467,Ngan_hang_cau_hoi!$B$2:$K$142,L467,0)</f>
        <v>Windows không nhận chính xác thiết bị GPU.
Nguyên nhân:</v>
      </c>
      <c r="H467" t="str">
        <f>IFERROR(VLOOKUP(J467,Ngan_hang_cau_hoi!$I$2:$L$142,4,0),"")</f>
        <v/>
      </c>
      <c r="J467" t="str">
        <f>IF(VLOOKUP(D467,Ngan_hang_cau_hoi!$B$2:$K$142,8,0)=G467,G467,"")</f>
        <v/>
      </c>
      <c r="L467">
        <f t="shared" si="15"/>
        <v>2</v>
      </c>
    </row>
    <row r="468" spans="1:12" x14ac:dyDescent="0.25">
      <c r="A468">
        <v>466</v>
      </c>
      <c r="B468" t="str">
        <f>VLOOKUP(D468,Ngan_hang_cau_hoi!$B$2:$K$142,10,0)</f>
        <v>Chương 5</v>
      </c>
      <c r="C468" t="str">
        <f>VLOOKUP(D468,Ngan_hang_cau_hoi!$B$2:$K$142,9,0)</f>
        <v>Trung bình</v>
      </c>
      <c r="D468">
        <f t="shared" si="14"/>
        <v>94</v>
      </c>
      <c r="F468" t="str">
        <f>IF(L468=2,COUNTIFS($L$1:L468,2,$B$1:B468,"Chương 5"),"")</f>
        <v/>
      </c>
      <c r="G468" t="str">
        <f>VLOOKUP(D468,Ngan_hang_cau_hoi!$B$2:$K$142,L468,0)</f>
        <v>Chưa cài driver</v>
      </c>
      <c r="H468" t="str">
        <f>IFERROR(VLOOKUP(J468,Ngan_hang_cau_hoi!$I$2:$L$142,4,0),"")</f>
        <v>A</v>
      </c>
      <c r="J468" t="str">
        <f>IF(VLOOKUP(D468,Ngan_hang_cau_hoi!$B$2:$K$142,8,0)=G468,G468,"")</f>
        <v>Chưa cài driver</v>
      </c>
      <c r="L468">
        <f t="shared" si="15"/>
        <v>3</v>
      </c>
    </row>
    <row r="469" spans="1:12" x14ac:dyDescent="0.25">
      <c r="A469">
        <v>467</v>
      </c>
      <c r="B469" t="str">
        <f>VLOOKUP(D469,Ngan_hang_cau_hoi!$B$2:$K$142,10,0)</f>
        <v>Chương 5</v>
      </c>
      <c r="C469" t="str">
        <f>VLOOKUP(D469,Ngan_hang_cau_hoi!$B$2:$K$142,9,0)</f>
        <v>Trung bình</v>
      </c>
      <c r="D469">
        <f t="shared" si="14"/>
        <v>94</v>
      </c>
      <c r="F469" t="str">
        <f>IF(L469=2,COUNTIFS($L$1:L469,2,$B$1:B469,"Chương 5"),"")</f>
        <v/>
      </c>
      <c r="G469" t="str">
        <f>VLOOKUP(D469,Ngan_hang_cau_hoi!$B$2:$K$142,L469,0)</f>
        <v>RAM lỗi</v>
      </c>
      <c r="H469" t="str">
        <f>IFERROR(VLOOKUP(J469,Ngan_hang_cau_hoi!$I$2:$L$142,4,0),"")</f>
        <v/>
      </c>
      <c r="J469" t="str">
        <f>IF(VLOOKUP(D469,Ngan_hang_cau_hoi!$B$2:$K$142,8,0)=G469,G469,"")</f>
        <v/>
      </c>
      <c r="L469">
        <f t="shared" si="15"/>
        <v>4</v>
      </c>
    </row>
    <row r="470" spans="1:12" x14ac:dyDescent="0.25">
      <c r="A470">
        <v>468</v>
      </c>
      <c r="B470" t="str">
        <f>VLOOKUP(D470,Ngan_hang_cau_hoi!$B$2:$K$142,10,0)</f>
        <v>Chương 5</v>
      </c>
      <c r="C470" t="str">
        <f>VLOOKUP(D470,Ngan_hang_cau_hoi!$B$2:$K$142,9,0)</f>
        <v>Trung bình</v>
      </c>
      <c r="D470">
        <f t="shared" si="14"/>
        <v>94</v>
      </c>
      <c r="F470" t="str">
        <f>IF(L470=2,COUNTIFS($L$1:L470,2,$B$1:B470,"Chương 5"),"")</f>
        <v/>
      </c>
      <c r="G470" t="str">
        <f>VLOOKUP(D470,Ngan_hang_cau_hoi!$B$2:$K$142,L470,0)</f>
        <v>SSD lỗi</v>
      </c>
      <c r="H470" t="str">
        <f>IFERROR(VLOOKUP(J470,Ngan_hang_cau_hoi!$I$2:$L$142,4,0),"")</f>
        <v/>
      </c>
      <c r="J470" t="str">
        <f>IF(VLOOKUP(D470,Ngan_hang_cau_hoi!$B$2:$K$142,8,0)=G470,G470,"")</f>
        <v/>
      </c>
      <c r="L470">
        <f t="shared" si="15"/>
        <v>5</v>
      </c>
    </row>
    <row r="471" spans="1:12" x14ac:dyDescent="0.25">
      <c r="A471">
        <v>469</v>
      </c>
      <c r="B471" t="str">
        <f>VLOOKUP(D471,Ngan_hang_cau_hoi!$B$2:$K$142,10,0)</f>
        <v>Chương 5</v>
      </c>
      <c r="C471" t="str">
        <f>VLOOKUP(D471,Ngan_hang_cau_hoi!$B$2:$K$142,9,0)</f>
        <v>Trung bình</v>
      </c>
      <c r="D471">
        <f t="shared" si="14"/>
        <v>94</v>
      </c>
      <c r="F471" t="str">
        <f>IF(L471=2,COUNTIFS($L$1:L471,2,$B$1:B471,"Chương 5"),"")</f>
        <v/>
      </c>
      <c r="G471" t="str">
        <f>VLOOKUP(D471,Ngan_hang_cau_hoi!$B$2:$K$142,L471,0)</f>
        <v>CPU lỗi</v>
      </c>
      <c r="H471" t="str">
        <f>IFERROR(VLOOKUP(J471,Ngan_hang_cau_hoi!$I$2:$L$142,4,0),"")</f>
        <v/>
      </c>
      <c r="J471" t="str">
        <f>IF(VLOOKUP(D471,Ngan_hang_cau_hoi!$B$2:$K$142,8,0)=G471,G471,"")</f>
        <v/>
      </c>
      <c r="L471">
        <f t="shared" si="15"/>
        <v>6</v>
      </c>
    </row>
    <row r="472" spans="1:12" x14ac:dyDescent="0.25">
      <c r="A472">
        <v>470</v>
      </c>
      <c r="B472" t="str">
        <f>VLOOKUP(D472,Ngan_hang_cau_hoi!$B$2:$K$142,10,0)</f>
        <v>Chương 5</v>
      </c>
      <c r="C472" t="str">
        <f>VLOOKUP(D472,Ngan_hang_cau_hoi!$B$2:$K$142,9,0)</f>
        <v>Trung bình</v>
      </c>
      <c r="D472">
        <f t="shared" si="14"/>
        <v>95</v>
      </c>
      <c r="F472">
        <f>IF(L472=2,COUNTIFS($L$1:L472,2,$B$1:B472,"Chương 5"),"")</f>
        <v>19</v>
      </c>
      <c r="G472" t="str">
        <f>VLOOKUP(D472,Ngan_hang_cau_hoi!$B$2:$K$142,L472,0)</f>
        <v xml:space="preserve">USB không hoạt động sau khi lắp main mới:
</v>
      </c>
      <c r="H472" t="str">
        <f>IFERROR(VLOOKUP(J472,Ngan_hang_cau_hoi!$I$2:$L$142,4,0),"")</f>
        <v/>
      </c>
      <c r="J472" t="str">
        <f>IF(VLOOKUP(D472,Ngan_hang_cau_hoi!$B$2:$K$142,8,0)=G472,G472,"")</f>
        <v/>
      </c>
      <c r="L472">
        <f t="shared" si="15"/>
        <v>2</v>
      </c>
    </row>
    <row r="473" spans="1:12" x14ac:dyDescent="0.25">
      <c r="A473">
        <v>471</v>
      </c>
      <c r="B473" t="str">
        <f>VLOOKUP(D473,Ngan_hang_cau_hoi!$B$2:$K$142,10,0)</f>
        <v>Chương 5</v>
      </c>
      <c r="C473" t="str">
        <f>VLOOKUP(D473,Ngan_hang_cau_hoi!$B$2:$K$142,9,0)</f>
        <v>Trung bình</v>
      </c>
      <c r="D473">
        <f t="shared" si="14"/>
        <v>95</v>
      </c>
      <c r="F473" t="str">
        <f>IF(L473=2,COUNTIFS($L$1:L473,2,$B$1:B473,"Chương 5"),"")</f>
        <v/>
      </c>
      <c r="G473" t="str">
        <f>VLOOKUP(D473,Ngan_hang_cau_hoi!$B$2:$K$142,L473,0)</f>
        <v>Thiếu driver chipset</v>
      </c>
      <c r="H473" t="str">
        <f>IFERROR(VLOOKUP(J473,Ngan_hang_cau_hoi!$I$2:$L$142,4,0),"")</f>
        <v>A</v>
      </c>
      <c r="J473" t="str">
        <f>IF(VLOOKUP(D473,Ngan_hang_cau_hoi!$B$2:$K$142,8,0)=G473,G473,"")</f>
        <v>Thiếu driver chipset</v>
      </c>
      <c r="L473">
        <f t="shared" si="15"/>
        <v>3</v>
      </c>
    </row>
    <row r="474" spans="1:12" x14ac:dyDescent="0.25">
      <c r="A474">
        <v>472</v>
      </c>
      <c r="B474" t="str">
        <f>VLOOKUP(D474,Ngan_hang_cau_hoi!$B$2:$K$142,10,0)</f>
        <v>Chương 5</v>
      </c>
      <c r="C474" t="str">
        <f>VLOOKUP(D474,Ngan_hang_cau_hoi!$B$2:$K$142,9,0)</f>
        <v>Trung bình</v>
      </c>
      <c r="D474">
        <f t="shared" si="14"/>
        <v>95</v>
      </c>
      <c r="F474" t="str">
        <f>IF(L474=2,COUNTIFS($L$1:L474,2,$B$1:B474,"Chương 5"),"")</f>
        <v/>
      </c>
      <c r="G474" t="str">
        <f>VLOOKUP(D474,Ngan_hang_cau_hoi!$B$2:$K$142,L474,0)</f>
        <v>RAM lỗi</v>
      </c>
      <c r="H474" t="str">
        <f>IFERROR(VLOOKUP(J474,Ngan_hang_cau_hoi!$I$2:$L$142,4,0),"")</f>
        <v/>
      </c>
      <c r="J474" t="str">
        <f>IF(VLOOKUP(D474,Ngan_hang_cau_hoi!$B$2:$K$142,8,0)=G474,G474,"")</f>
        <v/>
      </c>
      <c r="L474">
        <f t="shared" si="15"/>
        <v>4</v>
      </c>
    </row>
    <row r="475" spans="1:12" x14ac:dyDescent="0.25">
      <c r="A475">
        <v>473</v>
      </c>
      <c r="B475" t="str">
        <f>VLOOKUP(D475,Ngan_hang_cau_hoi!$B$2:$K$142,10,0)</f>
        <v>Chương 5</v>
      </c>
      <c r="C475" t="str">
        <f>VLOOKUP(D475,Ngan_hang_cau_hoi!$B$2:$K$142,9,0)</f>
        <v>Trung bình</v>
      </c>
      <c r="D475">
        <f t="shared" si="14"/>
        <v>95</v>
      </c>
      <c r="F475" t="str">
        <f>IF(L475=2,COUNTIFS($L$1:L475,2,$B$1:B475,"Chương 5"),"")</f>
        <v/>
      </c>
      <c r="G475" t="str">
        <f>VLOOKUP(D475,Ngan_hang_cau_hoi!$B$2:$K$142,L475,0)</f>
        <v>SSD lỗi</v>
      </c>
      <c r="H475" t="str">
        <f>IFERROR(VLOOKUP(J475,Ngan_hang_cau_hoi!$I$2:$L$142,4,0),"")</f>
        <v/>
      </c>
      <c r="J475" t="str">
        <f>IF(VLOOKUP(D475,Ngan_hang_cau_hoi!$B$2:$K$142,8,0)=G475,G475,"")</f>
        <v/>
      </c>
      <c r="L475">
        <f t="shared" si="15"/>
        <v>5</v>
      </c>
    </row>
    <row r="476" spans="1:12" x14ac:dyDescent="0.25">
      <c r="A476">
        <v>474</v>
      </c>
      <c r="B476" t="str">
        <f>VLOOKUP(D476,Ngan_hang_cau_hoi!$B$2:$K$142,10,0)</f>
        <v>Chương 5</v>
      </c>
      <c r="C476" t="str">
        <f>VLOOKUP(D476,Ngan_hang_cau_hoi!$B$2:$K$142,9,0)</f>
        <v>Trung bình</v>
      </c>
      <c r="D476">
        <f t="shared" si="14"/>
        <v>95</v>
      </c>
      <c r="F476" t="str">
        <f>IF(L476=2,COUNTIFS($L$1:L476,2,$B$1:B476,"Chương 5"),"")</f>
        <v/>
      </c>
      <c r="G476" t="str">
        <f>VLOOKUP(D476,Ngan_hang_cau_hoi!$B$2:$K$142,L476,0)</f>
        <v>CPU lỗi</v>
      </c>
      <c r="H476" t="str">
        <f>IFERROR(VLOOKUP(J476,Ngan_hang_cau_hoi!$I$2:$L$142,4,0),"")</f>
        <v/>
      </c>
      <c r="J476" t="str">
        <f>IF(VLOOKUP(D476,Ngan_hang_cau_hoi!$B$2:$K$142,8,0)=G476,G476,"")</f>
        <v/>
      </c>
      <c r="L476">
        <f t="shared" si="15"/>
        <v>6</v>
      </c>
    </row>
    <row r="477" spans="1:12" x14ac:dyDescent="0.25">
      <c r="A477">
        <v>475</v>
      </c>
      <c r="B477" t="str">
        <f>VLOOKUP(D477,Ngan_hang_cau_hoi!$B$2:$K$142,10,0)</f>
        <v>Chương 5</v>
      </c>
      <c r="C477" t="str">
        <f>VLOOKUP(D477,Ngan_hang_cau_hoi!$B$2:$K$142,9,0)</f>
        <v>Trung bình</v>
      </c>
      <c r="D477">
        <f t="shared" si="14"/>
        <v>96</v>
      </c>
      <c r="F477">
        <f>IF(L477=2,COUNTIFS($L$1:L477,2,$B$1:B477,"Chương 5"),"")</f>
        <v>20</v>
      </c>
      <c r="G477" t="str">
        <f>VLOOKUP(D477,Ngan_hang_cau_hoi!$B$2:$K$142,L477,0)</f>
        <v>SSD SATA lắp vào nhưng không xuất hiện ổ đĩa trong hệ điều hành Windows. Nguyên nhân:</v>
      </c>
      <c r="H477" t="str">
        <f>IFERROR(VLOOKUP(J477,Ngan_hang_cau_hoi!$I$2:$L$142,4,0),"")</f>
        <v/>
      </c>
      <c r="J477" t="str">
        <f>IF(VLOOKUP(D477,Ngan_hang_cau_hoi!$B$2:$K$142,8,0)=G477,G477,"")</f>
        <v/>
      </c>
      <c r="L477">
        <f t="shared" si="15"/>
        <v>2</v>
      </c>
    </row>
    <row r="478" spans="1:12" x14ac:dyDescent="0.25">
      <c r="A478">
        <v>476</v>
      </c>
      <c r="B478" t="str">
        <f>VLOOKUP(D478,Ngan_hang_cau_hoi!$B$2:$K$142,10,0)</f>
        <v>Chương 5</v>
      </c>
      <c r="C478" t="str">
        <f>VLOOKUP(D478,Ngan_hang_cau_hoi!$B$2:$K$142,9,0)</f>
        <v>Trung bình</v>
      </c>
      <c r="D478">
        <f t="shared" si="14"/>
        <v>96</v>
      </c>
      <c r="F478" t="str">
        <f>IF(L478=2,COUNTIFS($L$1:L478,2,$B$1:B478,"Chương 5"),"")</f>
        <v/>
      </c>
      <c r="G478" t="str">
        <f>VLOOKUP(D478,Ngan_hang_cau_hoi!$B$2:$K$142,L478,0)</f>
        <v>CPU lỗi</v>
      </c>
      <c r="H478" t="str">
        <f>IFERROR(VLOOKUP(J478,Ngan_hang_cau_hoi!$I$2:$L$142,4,0),"")</f>
        <v/>
      </c>
      <c r="J478" t="str">
        <f>IF(VLOOKUP(D478,Ngan_hang_cau_hoi!$B$2:$K$142,8,0)=G478,G478,"")</f>
        <v/>
      </c>
      <c r="L478">
        <f t="shared" si="15"/>
        <v>3</v>
      </c>
    </row>
    <row r="479" spans="1:12" x14ac:dyDescent="0.25">
      <c r="A479">
        <v>477</v>
      </c>
      <c r="B479" t="str">
        <f>VLOOKUP(D479,Ngan_hang_cau_hoi!$B$2:$K$142,10,0)</f>
        <v>Chương 5</v>
      </c>
      <c r="C479" t="str">
        <f>VLOOKUP(D479,Ngan_hang_cau_hoi!$B$2:$K$142,9,0)</f>
        <v>Trung bình</v>
      </c>
      <c r="D479">
        <f t="shared" si="14"/>
        <v>96</v>
      </c>
      <c r="F479" t="str">
        <f>IF(L479=2,COUNTIFS($L$1:L479,2,$B$1:B479,"Chương 5"),"")</f>
        <v/>
      </c>
      <c r="G479" t="str">
        <f>VLOOKUP(D479,Ngan_hang_cau_hoi!$B$2:$K$142,L479,0)</f>
        <v>chưa tạo phân vùng</v>
      </c>
      <c r="H479" t="str">
        <f>IFERROR(VLOOKUP(J479,Ngan_hang_cau_hoi!$I$2:$L$142,4,0),"")</f>
        <v>B</v>
      </c>
      <c r="J479" t="str">
        <f>IF(VLOOKUP(D479,Ngan_hang_cau_hoi!$B$2:$K$142,8,0)=G479,G479,"")</f>
        <v>chưa tạo phân vùng</v>
      </c>
      <c r="L479">
        <f t="shared" si="15"/>
        <v>4</v>
      </c>
    </row>
    <row r="480" spans="1:12" x14ac:dyDescent="0.25">
      <c r="A480">
        <v>478</v>
      </c>
      <c r="B480" t="str">
        <f>VLOOKUP(D480,Ngan_hang_cau_hoi!$B$2:$K$142,10,0)</f>
        <v>Chương 5</v>
      </c>
      <c r="C480" t="str">
        <f>VLOOKUP(D480,Ngan_hang_cau_hoi!$B$2:$K$142,9,0)</f>
        <v>Trung bình</v>
      </c>
      <c r="D480">
        <f t="shared" si="14"/>
        <v>96</v>
      </c>
      <c r="F480" t="str">
        <f>IF(L480=2,COUNTIFS($L$1:L480,2,$B$1:B480,"Chương 5"),"")</f>
        <v/>
      </c>
      <c r="G480" t="str">
        <f>VLOOKUP(D480,Ngan_hang_cau_hoi!$B$2:$K$142,L480,0)</f>
        <v>mainboard không hỗ trợ NVMe</v>
      </c>
      <c r="H480" t="str">
        <f>IFERROR(VLOOKUP(J480,Ngan_hang_cau_hoi!$I$2:$L$142,4,0),"")</f>
        <v/>
      </c>
      <c r="J480" t="str">
        <f>IF(VLOOKUP(D480,Ngan_hang_cau_hoi!$B$2:$K$142,8,0)=G480,G480,"")</f>
        <v/>
      </c>
      <c r="L480">
        <f t="shared" si="15"/>
        <v>5</v>
      </c>
    </row>
    <row r="481" spans="1:12" x14ac:dyDescent="0.25">
      <c r="A481">
        <v>479</v>
      </c>
      <c r="B481" t="str">
        <f>VLOOKUP(D481,Ngan_hang_cau_hoi!$B$2:$K$142,10,0)</f>
        <v>Chương 5</v>
      </c>
      <c r="C481" t="str">
        <f>VLOOKUP(D481,Ngan_hang_cau_hoi!$B$2:$K$142,9,0)</f>
        <v>Trung bình</v>
      </c>
      <c r="D481">
        <f t="shared" si="14"/>
        <v>96</v>
      </c>
      <c r="F481" t="str">
        <f>IF(L481=2,COUNTIFS($L$1:L481,2,$B$1:B481,"Chương 5"),"")</f>
        <v/>
      </c>
      <c r="G481" t="str">
        <f>VLOOKUP(D481,Ngan_hang_cau_hoi!$B$2:$K$142,L481,0)</f>
        <v>BIOS chưa update</v>
      </c>
      <c r="H481" t="str">
        <f>IFERROR(VLOOKUP(J481,Ngan_hang_cau_hoi!$I$2:$L$142,4,0),"")</f>
        <v/>
      </c>
      <c r="J481" t="str">
        <f>IF(VLOOKUP(D481,Ngan_hang_cau_hoi!$B$2:$K$142,8,0)=G481,G481,"")</f>
        <v/>
      </c>
      <c r="L481">
        <f t="shared" si="15"/>
        <v>6</v>
      </c>
    </row>
    <row r="482" spans="1:12" x14ac:dyDescent="0.25">
      <c r="A482">
        <v>480</v>
      </c>
      <c r="B482" t="str">
        <f>VLOOKUP(D482,Ngan_hang_cau_hoi!$B$2:$K$142,10,0)</f>
        <v>Chương 5</v>
      </c>
      <c r="C482" t="str">
        <f>VLOOKUP(D482,Ngan_hang_cau_hoi!$B$2:$K$142,9,0)</f>
        <v>Trung bình</v>
      </c>
      <c r="D482">
        <f t="shared" si="14"/>
        <v>97</v>
      </c>
      <c r="F482">
        <f>IF(L482=2,COUNTIFS($L$1:L482,2,$B$1:B482,"Chương 5"),"")</f>
        <v>21</v>
      </c>
      <c r="G482" t="str">
        <f>VLOOKUP(D482,Ngan_hang_cau_hoi!$B$2:$K$142,L482,0)</f>
        <v xml:space="preserve">RAM bus 3200 MHz lắp vào main hỗ trợ 2666 MHz. Ram sẽ nhận:
</v>
      </c>
      <c r="H482" t="str">
        <f>IFERROR(VLOOKUP(J482,Ngan_hang_cau_hoi!$I$2:$L$142,4,0),"")</f>
        <v/>
      </c>
      <c r="J482" t="str">
        <f>IF(VLOOKUP(D482,Ngan_hang_cau_hoi!$B$2:$K$142,8,0)=G482,G482,"")</f>
        <v/>
      </c>
      <c r="L482">
        <f t="shared" si="15"/>
        <v>2</v>
      </c>
    </row>
    <row r="483" spans="1:12" x14ac:dyDescent="0.25">
      <c r="A483">
        <v>481</v>
      </c>
      <c r="B483" t="str">
        <f>VLOOKUP(D483,Ngan_hang_cau_hoi!$B$2:$K$142,10,0)</f>
        <v>Chương 5</v>
      </c>
      <c r="C483" t="str">
        <f>VLOOKUP(D483,Ngan_hang_cau_hoi!$B$2:$K$142,9,0)</f>
        <v>Trung bình</v>
      </c>
      <c r="D483">
        <f t="shared" si="14"/>
        <v>97</v>
      </c>
      <c r="F483" t="str">
        <f>IF(L483=2,COUNTIFS($L$1:L483,2,$B$1:B483,"Chương 5"),"")</f>
        <v/>
      </c>
      <c r="G483" t="str">
        <f>VLOOKUP(D483,Ngan_hang_cau_hoi!$B$2:$K$142,L483,0)</f>
        <v>2666 MHz</v>
      </c>
      <c r="H483" t="str">
        <f>IFERROR(VLOOKUP(J483,Ngan_hang_cau_hoi!$I$2:$L$142,4,0),"")</f>
        <v>A</v>
      </c>
      <c r="J483" t="str">
        <f>IF(VLOOKUP(D483,Ngan_hang_cau_hoi!$B$2:$K$142,8,0)=G483,G483,"")</f>
        <v>2666 MHz</v>
      </c>
      <c r="L483">
        <f t="shared" si="15"/>
        <v>3</v>
      </c>
    </row>
    <row r="484" spans="1:12" x14ac:dyDescent="0.25">
      <c r="A484">
        <v>482</v>
      </c>
      <c r="B484" t="str">
        <f>VLOOKUP(D484,Ngan_hang_cau_hoi!$B$2:$K$142,10,0)</f>
        <v>Chương 5</v>
      </c>
      <c r="C484" t="str">
        <f>VLOOKUP(D484,Ngan_hang_cau_hoi!$B$2:$K$142,9,0)</f>
        <v>Trung bình</v>
      </c>
      <c r="D484">
        <f t="shared" si="14"/>
        <v>97</v>
      </c>
      <c r="F484" t="str">
        <f>IF(L484=2,COUNTIFS($L$1:L484,2,$B$1:B484,"Chương 5"),"")</f>
        <v/>
      </c>
      <c r="G484" t="str">
        <f>VLOOKUP(D484,Ngan_hang_cau_hoi!$B$2:$K$142,L484,0)</f>
        <v>3200 MHz</v>
      </c>
      <c r="H484" t="str">
        <f>IFERROR(VLOOKUP(J484,Ngan_hang_cau_hoi!$I$2:$L$142,4,0),"")</f>
        <v/>
      </c>
      <c r="J484" t="str">
        <f>IF(VLOOKUP(D484,Ngan_hang_cau_hoi!$B$2:$K$142,8,0)=G484,G484,"")</f>
        <v/>
      </c>
      <c r="L484">
        <f t="shared" si="15"/>
        <v>4</v>
      </c>
    </row>
    <row r="485" spans="1:12" x14ac:dyDescent="0.25">
      <c r="A485">
        <v>483</v>
      </c>
      <c r="B485" t="str">
        <f>VLOOKUP(D485,Ngan_hang_cau_hoi!$B$2:$K$142,10,0)</f>
        <v>Chương 5</v>
      </c>
      <c r="C485" t="str">
        <f>VLOOKUP(D485,Ngan_hang_cau_hoi!$B$2:$K$142,9,0)</f>
        <v>Trung bình</v>
      </c>
      <c r="D485">
        <f t="shared" si="14"/>
        <v>97</v>
      </c>
      <c r="F485" t="str">
        <f>IF(L485=2,COUNTIFS($L$1:L485,2,$B$1:B485,"Chương 5"),"")</f>
        <v/>
      </c>
      <c r="G485" t="str">
        <f>VLOOKUP(D485,Ngan_hang_cau_hoi!$B$2:$K$142,L485,0)</f>
        <v>(2666 + 3200) MHz</v>
      </c>
      <c r="H485" t="str">
        <f>IFERROR(VLOOKUP(J485,Ngan_hang_cau_hoi!$I$2:$L$142,4,0),"")</f>
        <v/>
      </c>
      <c r="J485" t="str">
        <f>IF(VLOOKUP(D485,Ngan_hang_cau_hoi!$B$2:$K$142,8,0)=G485,G485,"")</f>
        <v/>
      </c>
      <c r="L485">
        <f t="shared" si="15"/>
        <v>5</v>
      </c>
    </row>
    <row r="486" spans="1:12" x14ac:dyDescent="0.25">
      <c r="A486">
        <v>484</v>
      </c>
      <c r="B486" t="str">
        <f>VLOOKUP(D486,Ngan_hang_cau_hoi!$B$2:$K$142,10,0)</f>
        <v>Chương 5</v>
      </c>
      <c r="C486" t="str">
        <f>VLOOKUP(D486,Ngan_hang_cau_hoi!$B$2:$K$142,9,0)</f>
        <v>Trung bình</v>
      </c>
      <c r="D486">
        <f t="shared" si="14"/>
        <v>97</v>
      </c>
      <c r="F486" t="str">
        <f>IF(L486=2,COUNTIFS($L$1:L486,2,$B$1:B486,"Chương 5"),"")</f>
        <v/>
      </c>
      <c r="G486" t="str">
        <f>VLOOKUP(D486,Ngan_hang_cau_hoi!$B$2:$K$142,L486,0)</f>
        <v>(2666 + 3200)/2 MHz</v>
      </c>
      <c r="H486" t="str">
        <f>IFERROR(VLOOKUP(J486,Ngan_hang_cau_hoi!$I$2:$L$142,4,0),"")</f>
        <v/>
      </c>
      <c r="J486" t="str">
        <f>IF(VLOOKUP(D486,Ngan_hang_cau_hoi!$B$2:$K$142,8,0)=G486,G486,"")</f>
        <v/>
      </c>
      <c r="L486">
        <f t="shared" si="15"/>
        <v>6</v>
      </c>
    </row>
    <row r="487" spans="1:12" x14ac:dyDescent="0.25">
      <c r="A487">
        <v>485</v>
      </c>
      <c r="B487" t="str">
        <f>VLOOKUP(D487,Ngan_hang_cau_hoi!$B$2:$K$142,10,0)</f>
        <v>Chương 5</v>
      </c>
      <c r="C487" t="str">
        <f>VLOOKUP(D487,Ngan_hang_cau_hoi!$B$2:$K$142,9,0)</f>
        <v>Trung bình</v>
      </c>
      <c r="D487">
        <f t="shared" si="14"/>
        <v>98</v>
      </c>
      <c r="F487">
        <f>IF(L487=2,COUNTIFS($L$1:L487,2,$B$1:B487,"Chương 5"),"")</f>
        <v>22</v>
      </c>
      <c r="G487" t="str">
        <f>VLOOKUP(D487,Ngan_hang_cau_hoi!$B$2:$K$142,L487,0)</f>
        <v>Phần mềm ứng dụng chạy chậm, nguyên nhân có thể là:</v>
      </c>
      <c r="H487" t="str">
        <f>IFERROR(VLOOKUP(J487,Ngan_hang_cau_hoi!$I$2:$L$142,4,0),"")</f>
        <v/>
      </c>
      <c r="J487" t="str">
        <f>IF(VLOOKUP(D487,Ngan_hang_cau_hoi!$B$2:$K$142,8,0)=G487,G487,"")</f>
        <v/>
      </c>
      <c r="L487">
        <f t="shared" si="15"/>
        <v>2</v>
      </c>
    </row>
    <row r="488" spans="1:12" x14ac:dyDescent="0.25">
      <c r="A488">
        <v>486</v>
      </c>
      <c r="B488" t="str">
        <f>VLOOKUP(D488,Ngan_hang_cau_hoi!$B$2:$K$142,10,0)</f>
        <v>Chương 5</v>
      </c>
      <c r="C488" t="str">
        <f>VLOOKUP(D488,Ngan_hang_cau_hoi!$B$2:$K$142,9,0)</f>
        <v>Trung bình</v>
      </c>
      <c r="D488">
        <f t="shared" si="14"/>
        <v>98</v>
      </c>
      <c r="F488" t="str">
        <f>IF(L488=2,COUNTIFS($L$1:L488,2,$B$1:B488,"Chương 5"),"")</f>
        <v/>
      </c>
      <c r="G488" t="str">
        <f>VLOOKUP(D488,Ngan_hang_cau_hoi!$B$2:$K$142,L488,0)</f>
        <v>RAM quá nhiều</v>
      </c>
      <c r="H488" t="str">
        <f>IFERROR(VLOOKUP(J488,Ngan_hang_cau_hoi!$I$2:$L$142,4,0),"")</f>
        <v/>
      </c>
      <c r="J488" t="str">
        <f>IF(VLOOKUP(D488,Ngan_hang_cau_hoi!$B$2:$K$142,8,0)=G488,G488,"")</f>
        <v/>
      </c>
      <c r="L488">
        <f t="shared" si="15"/>
        <v>3</v>
      </c>
    </row>
    <row r="489" spans="1:12" x14ac:dyDescent="0.25">
      <c r="A489">
        <v>487</v>
      </c>
      <c r="B489" t="str">
        <f>VLOOKUP(D489,Ngan_hang_cau_hoi!$B$2:$K$142,10,0)</f>
        <v>Chương 5</v>
      </c>
      <c r="C489" t="str">
        <f>VLOOKUP(D489,Ngan_hang_cau_hoi!$B$2:$K$142,9,0)</f>
        <v>Trung bình</v>
      </c>
      <c r="D489">
        <f t="shared" si="14"/>
        <v>98</v>
      </c>
      <c r="F489" t="str">
        <f>IF(L489=2,COUNTIFS($L$1:L489,2,$B$1:B489,"Chương 5"),"")</f>
        <v/>
      </c>
      <c r="G489" t="str">
        <f>VLOOKUP(D489,Ngan_hang_cau_hoi!$B$2:$K$142,L489,0)</f>
        <v>SSD lớn</v>
      </c>
      <c r="H489" t="str">
        <f>IFERROR(VLOOKUP(J489,Ngan_hang_cau_hoi!$I$2:$L$142,4,0),"")</f>
        <v/>
      </c>
      <c r="J489" t="str">
        <f>IF(VLOOKUP(D489,Ngan_hang_cau_hoi!$B$2:$K$142,8,0)=G489,G489,"")</f>
        <v/>
      </c>
      <c r="L489">
        <f t="shared" si="15"/>
        <v>4</v>
      </c>
    </row>
    <row r="490" spans="1:12" x14ac:dyDescent="0.25">
      <c r="A490">
        <v>488</v>
      </c>
      <c r="B490" t="str">
        <f>VLOOKUP(D490,Ngan_hang_cau_hoi!$B$2:$K$142,10,0)</f>
        <v>Chương 5</v>
      </c>
      <c r="C490" t="str">
        <f>VLOOKUP(D490,Ngan_hang_cau_hoi!$B$2:$K$142,9,0)</f>
        <v>Trung bình</v>
      </c>
      <c r="D490">
        <f t="shared" si="14"/>
        <v>98</v>
      </c>
      <c r="F490" t="str">
        <f>IF(L490=2,COUNTIFS($L$1:L490,2,$B$1:B490,"Chương 5"),"")</f>
        <v/>
      </c>
      <c r="G490" t="str">
        <f>VLOOKUP(D490,Ngan_hang_cau_hoi!$B$2:$K$142,L490,0)</f>
        <v>CPU yếu</v>
      </c>
      <c r="H490" t="str">
        <f>IFERROR(VLOOKUP(J490,Ngan_hang_cau_hoi!$I$2:$L$142,4,0),"")</f>
        <v>C</v>
      </c>
      <c r="J490" t="str">
        <f>IF(VLOOKUP(D490,Ngan_hang_cau_hoi!$B$2:$K$142,8,0)=G490,G490,"")</f>
        <v>CPU yếu</v>
      </c>
      <c r="L490">
        <f t="shared" si="15"/>
        <v>5</v>
      </c>
    </row>
    <row r="491" spans="1:12" x14ac:dyDescent="0.25">
      <c r="A491">
        <v>489</v>
      </c>
      <c r="B491" t="str">
        <f>VLOOKUP(D491,Ngan_hang_cau_hoi!$B$2:$K$142,10,0)</f>
        <v>Chương 5</v>
      </c>
      <c r="C491" t="str">
        <f>VLOOKUP(D491,Ngan_hang_cau_hoi!$B$2:$K$142,9,0)</f>
        <v>Trung bình</v>
      </c>
      <c r="D491">
        <f t="shared" si="14"/>
        <v>98</v>
      </c>
      <c r="F491" t="str">
        <f>IF(L491=2,COUNTIFS($L$1:L491,2,$B$1:B491,"Chương 5"),"")</f>
        <v/>
      </c>
      <c r="G491" t="str">
        <f>VLOOKUP(D491,Ngan_hang_cau_hoi!$B$2:$K$142,L491,0)</f>
        <v>Chưa tạo phân vùng</v>
      </c>
      <c r="H491" t="str">
        <f>IFERROR(VLOOKUP(J491,Ngan_hang_cau_hoi!$I$2:$L$142,4,0),"")</f>
        <v/>
      </c>
      <c r="J491" t="str">
        <f>IF(VLOOKUP(D491,Ngan_hang_cau_hoi!$B$2:$K$142,8,0)=G491,G491,"")</f>
        <v/>
      </c>
      <c r="L491">
        <f t="shared" si="15"/>
        <v>6</v>
      </c>
    </row>
    <row r="492" spans="1:12" x14ac:dyDescent="0.25">
      <c r="A492">
        <v>490</v>
      </c>
      <c r="B492" t="str">
        <f>VLOOKUP(D492,Ngan_hang_cau_hoi!$B$2:$K$142,10,0)</f>
        <v>Chương 5</v>
      </c>
      <c r="C492" t="str">
        <f>VLOOKUP(D492,Ngan_hang_cau_hoi!$B$2:$K$142,9,0)</f>
        <v>Trung bình</v>
      </c>
      <c r="D492">
        <f t="shared" si="14"/>
        <v>99</v>
      </c>
      <c r="F492">
        <f>IF(L492=2,COUNTIFS($L$1:L492,2,$B$1:B492,"Chương 5"),"")</f>
        <v>23</v>
      </c>
      <c r="G492" t="str">
        <f>VLOOKUP(D492,Ngan_hang_cau_hoi!$B$2:$K$142,L492,0)</f>
        <v>Nếu máy quá nóng khi chạy nhiều ứng dụng:</v>
      </c>
      <c r="H492" t="str">
        <f>IFERROR(VLOOKUP(J492,Ngan_hang_cau_hoi!$I$2:$L$142,4,0),"")</f>
        <v/>
      </c>
      <c r="J492" t="str">
        <f>IF(VLOOKUP(D492,Ngan_hang_cau_hoi!$B$2:$K$142,8,0)=G492,G492,"")</f>
        <v/>
      </c>
      <c r="L492">
        <f t="shared" si="15"/>
        <v>2</v>
      </c>
    </row>
    <row r="493" spans="1:12" x14ac:dyDescent="0.25">
      <c r="A493">
        <v>491</v>
      </c>
      <c r="B493" t="str">
        <f>VLOOKUP(D493,Ngan_hang_cau_hoi!$B$2:$K$142,10,0)</f>
        <v>Chương 5</v>
      </c>
      <c r="C493" t="str">
        <f>VLOOKUP(D493,Ngan_hang_cau_hoi!$B$2:$K$142,9,0)</f>
        <v>Trung bình</v>
      </c>
      <c r="D493">
        <f t="shared" si="14"/>
        <v>99</v>
      </c>
      <c r="F493" t="str">
        <f>IF(L493=2,COUNTIFS($L$1:L493,2,$B$1:B493,"Chương 5"),"")</f>
        <v/>
      </c>
      <c r="G493" t="str">
        <f>VLOOKUP(D493,Ngan_hang_cau_hoi!$B$2:$K$142,L493,0)</f>
        <v>tản nhiệt kém</v>
      </c>
      <c r="H493" t="str">
        <f>IFERROR(VLOOKUP(J493,Ngan_hang_cau_hoi!$I$2:$L$142,4,0),"")</f>
        <v>A</v>
      </c>
      <c r="J493" t="str">
        <f>IF(VLOOKUP(D493,Ngan_hang_cau_hoi!$B$2:$K$142,8,0)=G493,G493,"")</f>
        <v>tản nhiệt kém</v>
      </c>
      <c r="L493">
        <f t="shared" si="15"/>
        <v>3</v>
      </c>
    </row>
    <row r="494" spans="1:12" x14ac:dyDescent="0.25">
      <c r="A494">
        <v>492</v>
      </c>
      <c r="B494" t="str">
        <f>VLOOKUP(D494,Ngan_hang_cau_hoi!$B$2:$K$142,10,0)</f>
        <v>Chương 5</v>
      </c>
      <c r="C494" t="str">
        <f>VLOOKUP(D494,Ngan_hang_cau_hoi!$B$2:$K$142,9,0)</f>
        <v>Trung bình</v>
      </c>
      <c r="D494">
        <f t="shared" si="14"/>
        <v>99</v>
      </c>
      <c r="F494" t="str">
        <f>IF(L494=2,COUNTIFS($L$1:L494,2,$B$1:B494,"Chương 5"),"")</f>
        <v/>
      </c>
      <c r="G494" t="str">
        <f>VLOOKUP(D494,Ngan_hang_cau_hoi!$B$2:$K$142,L494,0)</f>
        <v>RAM nhỏ</v>
      </c>
      <c r="H494" t="str">
        <f>IFERROR(VLOOKUP(J494,Ngan_hang_cau_hoi!$I$2:$L$142,4,0),"")</f>
        <v/>
      </c>
      <c r="J494" t="str">
        <f>IF(VLOOKUP(D494,Ngan_hang_cau_hoi!$B$2:$K$142,8,0)=G494,G494,"")</f>
        <v/>
      </c>
      <c r="L494">
        <f t="shared" si="15"/>
        <v>4</v>
      </c>
    </row>
    <row r="495" spans="1:12" x14ac:dyDescent="0.25">
      <c r="A495">
        <v>493</v>
      </c>
      <c r="B495" t="str">
        <f>VLOOKUP(D495,Ngan_hang_cau_hoi!$B$2:$K$142,10,0)</f>
        <v>Chương 5</v>
      </c>
      <c r="C495" t="str">
        <f>VLOOKUP(D495,Ngan_hang_cau_hoi!$B$2:$K$142,9,0)</f>
        <v>Trung bình</v>
      </c>
      <c r="D495">
        <f t="shared" si="14"/>
        <v>99</v>
      </c>
      <c r="F495" t="str">
        <f>IF(L495=2,COUNTIFS($L$1:L495,2,$B$1:B495,"Chương 5"),"")</f>
        <v/>
      </c>
      <c r="G495" t="str">
        <f>VLOOKUP(D495,Ngan_hang_cau_hoi!$B$2:$K$142,L495,0)</f>
        <v>SSD nhỏ</v>
      </c>
      <c r="H495" t="str">
        <f>IFERROR(VLOOKUP(J495,Ngan_hang_cau_hoi!$I$2:$L$142,4,0),"")</f>
        <v/>
      </c>
      <c r="J495" t="str">
        <f>IF(VLOOKUP(D495,Ngan_hang_cau_hoi!$B$2:$K$142,8,0)=G495,G495,"")</f>
        <v/>
      </c>
      <c r="L495">
        <f t="shared" si="15"/>
        <v>5</v>
      </c>
    </row>
    <row r="496" spans="1:12" x14ac:dyDescent="0.25">
      <c r="A496">
        <v>494</v>
      </c>
      <c r="B496" t="str">
        <f>VLOOKUP(D496,Ngan_hang_cau_hoi!$B$2:$K$142,10,0)</f>
        <v>Chương 5</v>
      </c>
      <c r="C496" t="str">
        <f>VLOOKUP(D496,Ngan_hang_cau_hoi!$B$2:$K$142,9,0)</f>
        <v>Trung bình</v>
      </c>
      <c r="D496">
        <f t="shared" si="14"/>
        <v>99</v>
      </c>
      <c r="F496" t="str">
        <f>IF(L496=2,COUNTIFS($L$1:L496,2,$B$1:B496,"Chương 5"),"")</f>
        <v/>
      </c>
      <c r="G496" t="str">
        <f>VLOOKUP(D496,Ngan_hang_cau_hoi!$B$2:$K$142,L496,0)</f>
        <v>PSU mạnh</v>
      </c>
      <c r="H496" t="str">
        <f>IFERROR(VLOOKUP(J496,Ngan_hang_cau_hoi!$I$2:$L$142,4,0),"")</f>
        <v/>
      </c>
      <c r="J496" t="str">
        <f>IF(VLOOKUP(D496,Ngan_hang_cau_hoi!$B$2:$K$142,8,0)=G496,G496,"")</f>
        <v/>
      </c>
      <c r="L496">
        <f t="shared" si="15"/>
        <v>6</v>
      </c>
    </row>
    <row r="497" spans="1:12" x14ac:dyDescent="0.25">
      <c r="A497">
        <v>495</v>
      </c>
      <c r="B497" t="str">
        <f>VLOOKUP(D497,Ngan_hang_cau_hoi!$B$2:$K$142,10,0)</f>
        <v>Chương 5</v>
      </c>
      <c r="C497" t="str">
        <f>VLOOKUP(D497,Ngan_hang_cau_hoi!$B$2:$K$142,9,0)</f>
        <v>Trung bình</v>
      </c>
      <c r="D497">
        <f t="shared" si="14"/>
        <v>100</v>
      </c>
      <c r="F497">
        <f>IF(L497=2,COUNTIFS($L$1:L497,2,$B$1:B497,"Chương 5"),"")</f>
        <v>24</v>
      </c>
      <c r="G497" t="str">
        <f>VLOOKUP(D497,Ngan_hang_cau_hoi!$B$2:$K$142,L497,0)</f>
        <v>Nếu CPU quá nóng, thiết bị nào cần kiểm tra?</v>
      </c>
      <c r="H497" t="str">
        <f>IFERROR(VLOOKUP(J497,Ngan_hang_cau_hoi!$I$2:$L$142,4,0),"")</f>
        <v/>
      </c>
      <c r="J497" t="str">
        <f>IF(VLOOKUP(D497,Ngan_hang_cau_hoi!$B$2:$K$142,8,0)=G497,G497,"")</f>
        <v/>
      </c>
      <c r="L497">
        <f t="shared" si="15"/>
        <v>2</v>
      </c>
    </row>
    <row r="498" spans="1:12" x14ac:dyDescent="0.25">
      <c r="A498">
        <v>496</v>
      </c>
      <c r="B498" t="str">
        <f>VLOOKUP(D498,Ngan_hang_cau_hoi!$B$2:$K$142,10,0)</f>
        <v>Chương 5</v>
      </c>
      <c r="C498" t="str">
        <f>VLOOKUP(D498,Ngan_hang_cau_hoi!$B$2:$K$142,9,0)</f>
        <v>Trung bình</v>
      </c>
      <c r="D498">
        <f t="shared" si="14"/>
        <v>100</v>
      </c>
      <c r="F498" t="str">
        <f>IF(L498=2,COUNTIFS($L$1:L498,2,$B$1:B498,"Chương 5"),"")</f>
        <v/>
      </c>
      <c r="G498" t="str">
        <f>VLOOKUP(D498,Ngan_hang_cau_hoi!$B$2:$K$142,L498,0)</f>
        <v>Quạt CPU</v>
      </c>
      <c r="H498" t="str">
        <f>IFERROR(VLOOKUP(J498,Ngan_hang_cau_hoi!$I$2:$L$142,4,0),"")</f>
        <v>A</v>
      </c>
      <c r="J498" t="str">
        <f>IF(VLOOKUP(D498,Ngan_hang_cau_hoi!$B$2:$K$142,8,0)=G498,G498,"")</f>
        <v>Quạt CPU</v>
      </c>
      <c r="L498">
        <f t="shared" si="15"/>
        <v>3</v>
      </c>
    </row>
    <row r="499" spans="1:12" x14ac:dyDescent="0.25">
      <c r="A499">
        <v>497</v>
      </c>
      <c r="B499" t="str">
        <f>VLOOKUP(D499,Ngan_hang_cau_hoi!$B$2:$K$142,10,0)</f>
        <v>Chương 5</v>
      </c>
      <c r="C499" t="str">
        <f>VLOOKUP(D499,Ngan_hang_cau_hoi!$B$2:$K$142,9,0)</f>
        <v>Trung bình</v>
      </c>
      <c r="D499">
        <f t="shared" si="14"/>
        <v>100</v>
      </c>
      <c r="F499" t="str">
        <f>IF(L499=2,COUNTIFS($L$1:L499,2,$B$1:B499,"Chương 5"),"")</f>
        <v/>
      </c>
      <c r="G499" t="str">
        <f>VLOOKUP(D499,Ngan_hang_cau_hoi!$B$2:$K$142,L499,0)</f>
        <v>RAM</v>
      </c>
      <c r="H499" t="str">
        <f>IFERROR(VLOOKUP(J499,Ngan_hang_cau_hoi!$I$2:$L$142,4,0),"")</f>
        <v/>
      </c>
      <c r="J499" t="str">
        <f>IF(VLOOKUP(D499,Ngan_hang_cau_hoi!$B$2:$K$142,8,0)=G499,G499,"")</f>
        <v/>
      </c>
      <c r="L499">
        <f t="shared" si="15"/>
        <v>4</v>
      </c>
    </row>
    <row r="500" spans="1:12" x14ac:dyDescent="0.25">
      <c r="A500">
        <v>498</v>
      </c>
      <c r="B500" t="str">
        <f>VLOOKUP(D500,Ngan_hang_cau_hoi!$B$2:$K$142,10,0)</f>
        <v>Chương 5</v>
      </c>
      <c r="C500" t="str">
        <f>VLOOKUP(D500,Ngan_hang_cau_hoi!$B$2:$K$142,9,0)</f>
        <v>Trung bình</v>
      </c>
      <c r="D500">
        <f t="shared" si="14"/>
        <v>100</v>
      </c>
      <c r="F500" t="str">
        <f>IF(L500=2,COUNTIFS($L$1:L500,2,$B$1:B500,"Chương 5"),"")</f>
        <v/>
      </c>
      <c r="G500" t="str">
        <f>VLOOKUP(D500,Ngan_hang_cau_hoi!$B$2:$K$142,L500,0)</f>
        <v>VGA</v>
      </c>
      <c r="H500" t="str">
        <f>IFERROR(VLOOKUP(J500,Ngan_hang_cau_hoi!$I$2:$L$142,4,0),"")</f>
        <v/>
      </c>
      <c r="J500" t="str">
        <f>IF(VLOOKUP(D500,Ngan_hang_cau_hoi!$B$2:$K$142,8,0)=G500,G500,"")</f>
        <v/>
      </c>
      <c r="L500">
        <f t="shared" si="15"/>
        <v>5</v>
      </c>
    </row>
    <row r="501" spans="1:12" x14ac:dyDescent="0.25">
      <c r="A501">
        <v>499</v>
      </c>
      <c r="B501" t="str">
        <f>VLOOKUP(D501,Ngan_hang_cau_hoi!$B$2:$K$142,10,0)</f>
        <v>Chương 5</v>
      </c>
      <c r="C501" t="str">
        <f>VLOOKUP(D501,Ngan_hang_cau_hoi!$B$2:$K$142,9,0)</f>
        <v>Trung bình</v>
      </c>
      <c r="D501">
        <f t="shared" si="14"/>
        <v>100</v>
      </c>
      <c r="F501" t="str">
        <f>IF(L501=2,COUNTIFS($L$1:L501,2,$B$1:B501,"Chương 5"),"")</f>
        <v/>
      </c>
      <c r="G501" t="str">
        <f>VLOOKUP(D501,Ngan_hang_cau_hoi!$B$2:$K$142,L501,0)</f>
        <v>Nguồn</v>
      </c>
      <c r="H501" t="str">
        <f>IFERROR(VLOOKUP(J501,Ngan_hang_cau_hoi!$I$2:$L$142,4,0),"")</f>
        <v/>
      </c>
      <c r="J501" t="str">
        <f>IF(VLOOKUP(D501,Ngan_hang_cau_hoi!$B$2:$K$142,8,0)=G501,G501,"")</f>
        <v/>
      </c>
      <c r="L501">
        <f t="shared" si="15"/>
        <v>6</v>
      </c>
    </row>
    <row r="502" spans="1:12" x14ac:dyDescent="0.25">
      <c r="A502">
        <v>500</v>
      </c>
      <c r="B502" t="str">
        <f>VLOOKUP(D502,Ngan_hang_cau_hoi!$B$2:$K$142,10,0)</f>
        <v>Chương 5</v>
      </c>
      <c r="C502" t="str">
        <f>VLOOKUP(D502,Ngan_hang_cau_hoi!$B$2:$K$142,9,0)</f>
        <v>Trung bình</v>
      </c>
      <c r="D502">
        <f t="shared" si="14"/>
        <v>101</v>
      </c>
      <c r="F502">
        <f>IF(L502=2,COUNTIFS($L$1:L502,2,$B$1:B502,"Chương 5"),"")</f>
        <v>25</v>
      </c>
      <c r="G502" t="str">
        <f>VLOOKUP(D502,Ngan_hang_cau_hoi!$B$2:$K$142,L502,0)</f>
        <v>Nếu CPU quá nóng, nguyên nhân thường là?</v>
      </c>
      <c r="H502" t="str">
        <f>IFERROR(VLOOKUP(J502,Ngan_hang_cau_hoi!$I$2:$L$142,4,0),"")</f>
        <v/>
      </c>
      <c r="J502" t="str">
        <f>IF(VLOOKUP(D502,Ngan_hang_cau_hoi!$B$2:$K$142,8,0)=G502,G502,"")</f>
        <v/>
      </c>
      <c r="L502">
        <f t="shared" si="15"/>
        <v>2</v>
      </c>
    </row>
    <row r="503" spans="1:12" x14ac:dyDescent="0.25">
      <c r="A503">
        <v>501</v>
      </c>
      <c r="B503" t="str">
        <f>VLOOKUP(D503,Ngan_hang_cau_hoi!$B$2:$K$142,10,0)</f>
        <v>Chương 5</v>
      </c>
      <c r="C503" t="str">
        <f>VLOOKUP(D503,Ngan_hang_cau_hoi!$B$2:$K$142,9,0)</f>
        <v>Trung bình</v>
      </c>
      <c r="D503">
        <f t="shared" si="14"/>
        <v>101</v>
      </c>
      <c r="F503" t="str">
        <f>IF(L503=2,COUNTIFS($L$1:L503,2,$B$1:B503,"Chương 5"),"")</f>
        <v/>
      </c>
      <c r="G503" t="str">
        <f>VLOOKUP(D503,Ngan_hang_cau_hoi!$B$2:$K$142,L503,0)</f>
        <v>Thiếu keo tản nhiệt</v>
      </c>
      <c r="H503" t="str">
        <f>IFERROR(VLOOKUP(J503,Ngan_hang_cau_hoi!$I$2:$L$142,4,0),"")</f>
        <v>A</v>
      </c>
      <c r="J503" t="str">
        <f>IF(VLOOKUP(D503,Ngan_hang_cau_hoi!$B$2:$K$142,8,0)=G503,G503,"")</f>
        <v>Thiếu keo tản nhiệt</v>
      </c>
      <c r="L503">
        <f t="shared" si="15"/>
        <v>3</v>
      </c>
    </row>
    <row r="504" spans="1:12" x14ac:dyDescent="0.25">
      <c r="A504">
        <v>502</v>
      </c>
      <c r="B504" t="str">
        <f>VLOOKUP(D504,Ngan_hang_cau_hoi!$B$2:$K$142,10,0)</f>
        <v>Chương 5</v>
      </c>
      <c r="C504" t="str">
        <f>VLOOKUP(D504,Ngan_hang_cau_hoi!$B$2:$K$142,9,0)</f>
        <v>Trung bình</v>
      </c>
      <c r="D504">
        <f t="shared" si="14"/>
        <v>101</v>
      </c>
      <c r="F504" t="str">
        <f>IF(L504=2,COUNTIFS($L$1:L504,2,$B$1:B504,"Chương 5"),"")</f>
        <v/>
      </c>
      <c r="G504" t="str">
        <f>VLOOKUP(D504,Ngan_hang_cau_hoi!$B$2:$K$142,L504,0)</f>
        <v>RAM lỗi</v>
      </c>
      <c r="H504" t="str">
        <f>IFERROR(VLOOKUP(J504,Ngan_hang_cau_hoi!$I$2:$L$142,4,0),"")</f>
        <v/>
      </c>
      <c r="J504" t="str">
        <f>IF(VLOOKUP(D504,Ngan_hang_cau_hoi!$B$2:$K$142,8,0)=G504,G504,"")</f>
        <v/>
      </c>
      <c r="L504">
        <f t="shared" si="15"/>
        <v>4</v>
      </c>
    </row>
    <row r="505" spans="1:12" x14ac:dyDescent="0.25">
      <c r="A505">
        <v>503</v>
      </c>
      <c r="B505" t="str">
        <f>VLOOKUP(D505,Ngan_hang_cau_hoi!$B$2:$K$142,10,0)</f>
        <v>Chương 5</v>
      </c>
      <c r="C505" t="str">
        <f>VLOOKUP(D505,Ngan_hang_cau_hoi!$B$2:$K$142,9,0)</f>
        <v>Trung bình</v>
      </c>
      <c r="D505">
        <f t="shared" si="14"/>
        <v>101</v>
      </c>
      <c r="F505" t="str">
        <f>IF(L505=2,COUNTIFS($L$1:L505,2,$B$1:B505,"Chương 5"),"")</f>
        <v/>
      </c>
      <c r="G505" t="str">
        <f>VLOOKUP(D505,Ngan_hang_cau_hoi!$B$2:$K$142,L505,0)</f>
        <v>SSD lỗi</v>
      </c>
      <c r="H505" t="str">
        <f>IFERROR(VLOOKUP(J505,Ngan_hang_cau_hoi!$I$2:$L$142,4,0),"")</f>
        <v/>
      </c>
      <c r="J505" t="str">
        <f>IF(VLOOKUP(D505,Ngan_hang_cau_hoi!$B$2:$K$142,8,0)=G505,G505,"")</f>
        <v/>
      </c>
      <c r="L505">
        <f t="shared" si="15"/>
        <v>5</v>
      </c>
    </row>
    <row r="506" spans="1:12" x14ac:dyDescent="0.25">
      <c r="A506">
        <v>504</v>
      </c>
      <c r="B506" t="str">
        <f>VLOOKUP(D506,Ngan_hang_cau_hoi!$B$2:$K$142,10,0)</f>
        <v>Chương 5</v>
      </c>
      <c r="C506" t="str">
        <f>VLOOKUP(D506,Ngan_hang_cau_hoi!$B$2:$K$142,9,0)</f>
        <v>Trung bình</v>
      </c>
      <c r="D506">
        <f t="shared" si="14"/>
        <v>101</v>
      </c>
      <c r="F506" t="str">
        <f>IF(L506=2,COUNTIFS($L$1:L506,2,$B$1:B506,"Chương 5"),"")</f>
        <v/>
      </c>
      <c r="G506" t="str">
        <f>VLOOKUP(D506,Ngan_hang_cau_hoi!$B$2:$K$142,L506,0)</f>
        <v>GPU lỗi</v>
      </c>
      <c r="H506" t="str">
        <f>IFERROR(VLOOKUP(J506,Ngan_hang_cau_hoi!$I$2:$L$142,4,0),"")</f>
        <v/>
      </c>
      <c r="J506" t="str">
        <f>IF(VLOOKUP(D506,Ngan_hang_cau_hoi!$B$2:$K$142,8,0)=G506,G506,"")</f>
        <v/>
      </c>
      <c r="L506">
        <f t="shared" si="15"/>
        <v>6</v>
      </c>
    </row>
    <row r="507" spans="1:12" x14ac:dyDescent="0.25">
      <c r="A507">
        <v>505</v>
      </c>
      <c r="B507" t="str">
        <f>VLOOKUP(D507,Ngan_hang_cau_hoi!$B$2:$K$142,10,0)</f>
        <v>Chương 5</v>
      </c>
      <c r="C507" t="str">
        <f>VLOOKUP(D507,Ngan_hang_cau_hoi!$B$2:$K$142,9,0)</f>
        <v>Trung bình</v>
      </c>
      <c r="D507">
        <f t="shared" si="14"/>
        <v>102</v>
      </c>
      <c r="F507">
        <f>IF(L507=2,COUNTIFS($L$1:L507,2,$B$1:B507,"Chương 5"),"")</f>
        <v>26</v>
      </c>
      <c r="G507" t="str">
        <f>VLOOKUP(D507,Ngan_hang_cau_hoi!$B$2:$K$142,L507,0)</f>
        <v>Máy Windows khởi động vào Safe Mode. Điều này thường dùng để:</v>
      </c>
      <c r="H507" t="str">
        <f>IFERROR(VLOOKUP(J507,Ngan_hang_cau_hoi!$I$2:$L$142,4,0),"")</f>
        <v/>
      </c>
      <c r="J507" t="str">
        <f>IF(VLOOKUP(D507,Ngan_hang_cau_hoi!$B$2:$K$142,8,0)=G507,G507,"")</f>
        <v/>
      </c>
      <c r="L507">
        <f t="shared" si="15"/>
        <v>2</v>
      </c>
    </row>
    <row r="508" spans="1:12" x14ac:dyDescent="0.25">
      <c r="A508">
        <v>506</v>
      </c>
      <c r="B508" t="str">
        <f>VLOOKUP(D508,Ngan_hang_cau_hoi!$B$2:$K$142,10,0)</f>
        <v>Chương 5</v>
      </c>
      <c r="C508" t="str">
        <f>VLOOKUP(D508,Ngan_hang_cau_hoi!$B$2:$K$142,9,0)</f>
        <v>Trung bình</v>
      </c>
      <c r="D508">
        <f t="shared" si="14"/>
        <v>102</v>
      </c>
      <c r="F508" t="str">
        <f>IF(L508=2,COUNTIFS($L$1:L508,2,$B$1:B508,"Chương 5"),"")</f>
        <v/>
      </c>
      <c r="G508" t="str">
        <f>VLOOKUP(D508,Ngan_hang_cau_hoi!$B$2:$K$142,L508,0)</f>
        <v>Nguồn PSU không ổn định</v>
      </c>
      <c r="H508" t="str">
        <f>IFERROR(VLOOKUP(J508,Ngan_hang_cau_hoi!$I$2:$L$142,4,0),"")</f>
        <v/>
      </c>
      <c r="J508" t="str">
        <f>IF(VLOOKUP(D508,Ngan_hang_cau_hoi!$B$2:$K$142,8,0)=G508,G508,"")</f>
        <v/>
      </c>
      <c r="L508">
        <f t="shared" si="15"/>
        <v>3</v>
      </c>
    </row>
    <row r="509" spans="1:12" x14ac:dyDescent="0.25">
      <c r="A509">
        <v>507</v>
      </c>
      <c r="B509" t="str">
        <f>VLOOKUP(D509,Ngan_hang_cau_hoi!$B$2:$K$142,10,0)</f>
        <v>Chương 5</v>
      </c>
      <c r="C509" t="str">
        <f>VLOOKUP(D509,Ngan_hang_cau_hoi!$B$2:$K$142,9,0)</f>
        <v>Trung bình</v>
      </c>
      <c r="D509">
        <f t="shared" si="14"/>
        <v>102</v>
      </c>
      <c r="F509" t="str">
        <f>IF(L509=2,COUNTIFS($L$1:L509,2,$B$1:B509,"Chương 5"),"")</f>
        <v/>
      </c>
      <c r="G509" t="str">
        <f>VLOOKUP(D509,Ngan_hang_cau_hoi!$B$2:$K$142,L509,0)</f>
        <v>Sửa lỗi hệ thống hoặc driver</v>
      </c>
      <c r="H509" t="str">
        <f>IFERROR(VLOOKUP(J509,Ngan_hang_cau_hoi!$I$2:$L$142,4,0),"")</f>
        <v>B</v>
      </c>
      <c r="J509" t="str">
        <f>IF(VLOOKUP(D509,Ngan_hang_cau_hoi!$B$2:$K$142,8,0)=G509,G509,"")</f>
        <v>Sửa lỗi hệ thống hoặc driver</v>
      </c>
      <c r="L509">
        <f t="shared" si="15"/>
        <v>4</v>
      </c>
    </row>
    <row r="510" spans="1:12" x14ac:dyDescent="0.25">
      <c r="A510">
        <v>508</v>
      </c>
      <c r="B510" t="str">
        <f>VLOOKUP(D510,Ngan_hang_cau_hoi!$B$2:$K$142,10,0)</f>
        <v>Chương 5</v>
      </c>
      <c r="C510" t="str">
        <f>VLOOKUP(D510,Ngan_hang_cau_hoi!$B$2:$K$142,9,0)</f>
        <v>Trung bình</v>
      </c>
      <c r="D510">
        <f t="shared" si="14"/>
        <v>102</v>
      </c>
      <c r="F510" t="str">
        <f>IF(L510=2,COUNTIFS($L$1:L510,2,$B$1:B510,"Chương 5"),"")</f>
        <v/>
      </c>
      <c r="G510" t="str">
        <f>VLOOKUP(D510,Ngan_hang_cau_hoi!$B$2:$K$142,L510,0)</f>
        <v>kiểm tra key bản quyền</v>
      </c>
      <c r="H510" t="str">
        <f>IFERROR(VLOOKUP(J510,Ngan_hang_cau_hoi!$I$2:$L$142,4,0),"")</f>
        <v/>
      </c>
      <c r="J510" t="str">
        <f>IF(VLOOKUP(D510,Ngan_hang_cau_hoi!$B$2:$K$142,8,0)=G510,G510,"")</f>
        <v/>
      </c>
      <c r="L510">
        <f t="shared" si="15"/>
        <v>5</v>
      </c>
    </row>
    <row r="511" spans="1:12" x14ac:dyDescent="0.25">
      <c r="A511">
        <v>509</v>
      </c>
      <c r="B511" t="str">
        <f>VLOOKUP(D511,Ngan_hang_cau_hoi!$B$2:$K$142,10,0)</f>
        <v>Chương 5</v>
      </c>
      <c r="C511" t="str">
        <f>VLOOKUP(D511,Ngan_hang_cau_hoi!$B$2:$K$142,9,0)</f>
        <v>Trung bình</v>
      </c>
      <c r="D511">
        <f t="shared" si="14"/>
        <v>102</v>
      </c>
      <c r="F511" t="str">
        <f>IF(L511=2,COUNTIFS($L$1:L511,2,$B$1:B511,"Chương 5"),"")</f>
        <v/>
      </c>
      <c r="G511" t="str">
        <f>VLOOKUP(D511,Ngan_hang_cau_hoi!$B$2:$K$142,L511,0)</f>
        <v>Sửa lỗi ổ cứng đầy</v>
      </c>
      <c r="H511" t="str">
        <f>IFERROR(VLOOKUP(J511,Ngan_hang_cau_hoi!$I$2:$L$142,4,0),"")</f>
        <v/>
      </c>
      <c r="J511" t="str">
        <f>IF(VLOOKUP(D511,Ngan_hang_cau_hoi!$B$2:$K$142,8,0)=G511,G511,"")</f>
        <v/>
      </c>
      <c r="L511">
        <f t="shared" si="15"/>
        <v>6</v>
      </c>
    </row>
    <row r="512" spans="1:12" x14ac:dyDescent="0.25">
      <c r="A512">
        <v>510</v>
      </c>
      <c r="B512" t="str">
        <f>VLOOKUP(D512,Ngan_hang_cau_hoi!$B$2:$K$142,10,0)</f>
        <v>Chương 5</v>
      </c>
      <c r="C512" t="str">
        <f>VLOOKUP(D512,Ngan_hang_cau_hoi!$B$2:$K$142,9,0)</f>
        <v>Trung bình</v>
      </c>
      <c r="D512">
        <f t="shared" si="14"/>
        <v>103</v>
      </c>
      <c r="F512">
        <f>IF(L512=2,COUNTIFS($L$1:L512,2,$B$1:B512,"Chương 5"),"")</f>
        <v>27</v>
      </c>
      <c r="G512" t="str">
        <f>VLOOKUP(D512,Ngan_hang_cau_hoi!$B$2:$K$142,L512,0)</f>
        <v>Máy tính treo hoặc tắt khi sử dụng phần mềm xử lý đồ hoạ.
Nguyên nhân:</v>
      </c>
      <c r="H512" t="str">
        <f>IFERROR(VLOOKUP(J512,Ngan_hang_cau_hoi!$I$2:$L$142,4,0),"")</f>
        <v/>
      </c>
      <c r="J512" t="str">
        <f>IF(VLOOKUP(D512,Ngan_hang_cau_hoi!$B$2:$K$142,8,0)=G512,G512,"")</f>
        <v/>
      </c>
      <c r="L512">
        <f t="shared" si="15"/>
        <v>2</v>
      </c>
    </row>
    <row r="513" spans="1:12" x14ac:dyDescent="0.25">
      <c r="A513">
        <v>511</v>
      </c>
      <c r="B513" t="str">
        <f>VLOOKUP(D513,Ngan_hang_cau_hoi!$B$2:$K$142,10,0)</f>
        <v>Chương 5</v>
      </c>
      <c r="C513" t="str">
        <f>VLOOKUP(D513,Ngan_hang_cau_hoi!$B$2:$K$142,9,0)</f>
        <v>Trung bình</v>
      </c>
      <c r="D513">
        <f t="shared" si="14"/>
        <v>103</v>
      </c>
      <c r="F513" t="str">
        <f>IF(L513=2,COUNTIFS($L$1:L513,2,$B$1:B513,"Chương 5"),"")</f>
        <v/>
      </c>
      <c r="G513" t="str">
        <f>VLOOKUP(D513,Ngan_hang_cau_hoi!$B$2:$K$142,L513,0)</f>
        <v>RAM yếu</v>
      </c>
      <c r="H513" t="str">
        <f>IFERROR(VLOOKUP(J513,Ngan_hang_cau_hoi!$I$2:$L$142,4,0),"")</f>
        <v/>
      </c>
      <c r="J513" t="str">
        <f>IF(VLOOKUP(D513,Ngan_hang_cau_hoi!$B$2:$K$142,8,0)=G513,G513,"")</f>
        <v/>
      </c>
      <c r="L513">
        <f t="shared" si="15"/>
        <v>3</v>
      </c>
    </row>
    <row r="514" spans="1:12" x14ac:dyDescent="0.25">
      <c r="A514">
        <v>512</v>
      </c>
      <c r="B514" t="str">
        <f>VLOOKUP(D514,Ngan_hang_cau_hoi!$B$2:$K$142,10,0)</f>
        <v>Chương 5</v>
      </c>
      <c r="C514" t="str">
        <f>VLOOKUP(D514,Ngan_hang_cau_hoi!$B$2:$K$142,9,0)</f>
        <v>Trung bình</v>
      </c>
      <c r="D514">
        <f t="shared" si="14"/>
        <v>103</v>
      </c>
      <c r="F514" t="str">
        <f>IF(L514=2,COUNTIFS($L$1:L514,2,$B$1:B514,"Chương 5"),"")</f>
        <v/>
      </c>
      <c r="G514" t="str">
        <f>VLOOKUP(D514,Ngan_hang_cau_hoi!$B$2:$K$142,L514,0)</f>
        <v>SSD nhỏ</v>
      </c>
      <c r="H514" t="str">
        <f>IFERROR(VLOOKUP(J514,Ngan_hang_cau_hoi!$I$2:$L$142,4,0),"")</f>
        <v/>
      </c>
      <c r="J514" t="str">
        <f>IF(VLOOKUP(D514,Ngan_hang_cau_hoi!$B$2:$K$142,8,0)=G514,G514,"")</f>
        <v/>
      </c>
      <c r="L514">
        <f t="shared" si="15"/>
        <v>4</v>
      </c>
    </row>
    <row r="515" spans="1:12" x14ac:dyDescent="0.25">
      <c r="A515">
        <v>513</v>
      </c>
      <c r="B515" t="str">
        <f>VLOOKUP(D515,Ngan_hang_cau_hoi!$B$2:$K$142,10,0)</f>
        <v>Chương 5</v>
      </c>
      <c r="C515" t="str">
        <f>VLOOKUP(D515,Ngan_hang_cau_hoi!$B$2:$K$142,9,0)</f>
        <v>Trung bình</v>
      </c>
      <c r="D515">
        <f t="shared" ref="D515:D578" si="16">INT(A515/5)+1</f>
        <v>103</v>
      </c>
      <c r="F515" t="str">
        <f>IF(L515=2,COUNTIFS($L$1:L515,2,$B$1:B515,"Chương 5"),"")</f>
        <v/>
      </c>
      <c r="G515" t="str">
        <f>VLOOKUP(D515,Ngan_hang_cau_hoi!$B$2:$K$142,L515,0)</f>
        <v>PSU yếu</v>
      </c>
      <c r="H515" t="str">
        <f>IFERROR(VLOOKUP(J515,Ngan_hang_cau_hoi!$I$2:$L$142,4,0),"")</f>
        <v>A</v>
      </c>
      <c r="J515" t="str">
        <f>IF(VLOOKUP(D515,Ngan_hang_cau_hoi!$B$2:$K$142,8,0)=G515,G515,"")</f>
        <v>PSU yếu</v>
      </c>
      <c r="L515">
        <f t="shared" ref="L515:L578" si="17">IF(L514=6,2,L514+1)</f>
        <v>5</v>
      </c>
    </row>
    <row r="516" spans="1:12" x14ac:dyDescent="0.25">
      <c r="A516">
        <v>514</v>
      </c>
      <c r="B516" t="str">
        <f>VLOOKUP(D516,Ngan_hang_cau_hoi!$B$2:$K$142,10,0)</f>
        <v>Chương 5</v>
      </c>
      <c r="C516" t="str">
        <f>VLOOKUP(D516,Ngan_hang_cau_hoi!$B$2:$K$142,9,0)</f>
        <v>Trung bình</v>
      </c>
      <c r="D516">
        <f t="shared" si="16"/>
        <v>103</v>
      </c>
      <c r="F516" t="str">
        <f>IF(L516=2,COUNTIFS($L$1:L516,2,$B$1:B516,"Chương 5"),"")</f>
        <v/>
      </c>
      <c r="G516" t="str">
        <f>VLOOKUP(D516,Ngan_hang_cau_hoi!$B$2:$K$142,L516,0)</f>
        <v>Dùng HDD</v>
      </c>
      <c r="H516" t="str">
        <f>IFERROR(VLOOKUP(J516,Ngan_hang_cau_hoi!$I$2:$L$142,4,0),"")</f>
        <v/>
      </c>
      <c r="J516" t="str">
        <f>IF(VLOOKUP(D516,Ngan_hang_cau_hoi!$B$2:$K$142,8,0)=G516,G516,"")</f>
        <v/>
      </c>
      <c r="L516">
        <f t="shared" si="17"/>
        <v>6</v>
      </c>
    </row>
    <row r="517" spans="1:12" x14ac:dyDescent="0.25">
      <c r="A517">
        <v>515</v>
      </c>
      <c r="B517" t="str">
        <f>VLOOKUP(D517,Ngan_hang_cau_hoi!$B$2:$K$142,10,0)</f>
        <v>Chương 5</v>
      </c>
      <c r="C517" t="str">
        <f>VLOOKUP(D517,Ngan_hang_cau_hoi!$B$2:$K$142,9,0)</f>
        <v>Trung bình</v>
      </c>
      <c r="D517">
        <f t="shared" si="16"/>
        <v>104</v>
      </c>
      <c r="F517">
        <f>IF(L517=2,COUNTIFS($L$1:L517,2,$B$1:B517,"Chương 5"),"")</f>
        <v>28</v>
      </c>
      <c r="G517" t="str">
        <f>VLOOKUP(D517,Ngan_hang_cau_hoi!$B$2:$K$142,L517,0)</f>
        <v>Máy tính phát ra "tiếng bíp dài liên tục khi khởi động", thường là lỗi gì?</v>
      </c>
      <c r="H517" t="str">
        <f>IFERROR(VLOOKUP(J517,Ngan_hang_cau_hoi!$I$2:$L$142,4,0),"")</f>
        <v/>
      </c>
      <c r="J517" t="str">
        <f>IF(VLOOKUP(D517,Ngan_hang_cau_hoi!$B$2:$K$142,8,0)=G517,G517,"")</f>
        <v/>
      </c>
      <c r="L517">
        <f t="shared" si="17"/>
        <v>2</v>
      </c>
    </row>
    <row r="518" spans="1:12" x14ac:dyDescent="0.25">
      <c r="A518">
        <v>516</v>
      </c>
      <c r="B518" t="str">
        <f>VLOOKUP(D518,Ngan_hang_cau_hoi!$B$2:$K$142,10,0)</f>
        <v>Chương 5</v>
      </c>
      <c r="C518" t="str">
        <f>VLOOKUP(D518,Ngan_hang_cau_hoi!$B$2:$K$142,9,0)</f>
        <v>Trung bình</v>
      </c>
      <c r="D518">
        <f t="shared" si="16"/>
        <v>104</v>
      </c>
      <c r="F518" t="str">
        <f>IF(L518=2,COUNTIFS($L$1:L518,2,$B$1:B518,"Chương 5"),"")</f>
        <v/>
      </c>
      <c r="G518" t="str">
        <f>VLOOKUP(D518,Ngan_hang_cau_hoi!$B$2:$K$142,L518,0)</f>
        <v>Lỗi ổ cứng</v>
      </c>
      <c r="H518" t="str">
        <f>IFERROR(VLOOKUP(J518,Ngan_hang_cau_hoi!$I$2:$L$142,4,0),"")</f>
        <v/>
      </c>
      <c r="J518" t="str">
        <f>IF(VLOOKUP(D518,Ngan_hang_cau_hoi!$B$2:$K$142,8,0)=G518,G518,"")</f>
        <v/>
      </c>
      <c r="L518">
        <f t="shared" si="17"/>
        <v>3</v>
      </c>
    </row>
    <row r="519" spans="1:12" x14ac:dyDescent="0.25">
      <c r="A519">
        <v>517</v>
      </c>
      <c r="B519" t="str">
        <f>VLOOKUP(D519,Ngan_hang_cau_hoi!$B$2:$K$142,10,0)</f>
        <v>Chương 5</v>
      </c>
      <c r="C519" t="str">
        <f>VLOOKUP(D519,Ngan_hang_cau_hoi!$B$2:$K$142,9,0)</f>
        <v>Trung bình</v>
      </c>
      <c r="D519">
        <f t="shared" si="16"/>
        <v>104</v>
      </c>
      <c r="F519" t="str">
        <f>IF(L519=2,COUNTIFS($L$1:L519,2,$B$1:B519,"Chương 5"),"")</f>
        <v/>
      </c>
      <c r="G519" t="str">
        <f>VLOOKUP(D519,Ngan_hang_cau_hoi!$B$2:$K$142,L519,0)</f>
        <v>Lỗi RAM</v>
      </c>
      <c r="H519" t="str">
        <f>IFERROR(VLOOKUP(J519,Ngan_hang_cau_hoi!$I$2:$L$142,4,0),"")</f>
        <v>B</v>
      </c>
      <c r="J519" t="str">
        <f>IF(VLOOKUP(D519,Ngan_hang_cau_hoi!$B$2:$K$142,8,0)=G519,G519,"")</f>
        <v>Lỗi RAM</v>
      </c>
      <c r="L519">
        <f t="shared" si="17"/>
        <v>4</v>
      </c>
    </row>
    <row r="520" spans="1:12" x14ac:dyDescent="0.25">
      <c r="A520">
        <v>518</v>
      </c>
      <c r="B520" t="str">
        <f>VLOOKUP(D520,Ngan_hang_cau_hoi!$B$2:$K$142,10,0)</f>
        <v>Chương 5</v>
      </c>
      <c r="C520" t="str">
        <f>VLOOKUP(D520,Ngan_hang_cau_hoi!$B$2:$K$142,9,0)</f>
        <v>Trung bình</v>
      </c>
      <c r="D520">
        <f t="shared" si="16"/>
        <v>104</v>
      </c>
      <c r="F520" t="str">
        <f>IF(L520=2,COUNTIFS($L$1:L520,2,$B$1:B520,"Chương 5"),"")</f>
        <v/>
      </c>
      <c r="G520" t="str">
        <f>VLOOKUP(D520,Ngan_hang_cau_hoi!$B$2:$K$142,L520,0)</f>
        <v>Lỗi VGA</v>
      </c>
      <c r="H520" t="str">
        <f>IFERROR(VLOOKUP(J520,Ngan_hang_cau_hoi!$I$2:$L$142,4,0),"")</f>
        <v/>
      </c>
      <c r="J520" t="str">
        <f>IF(VLOOKUP(D520,Ngan_hang_cau_hoi!$B$2:$K$142,8,0)=G520,G520,"")</f>
        <v/>
      </c>
      <c r="L520">
        <f t="shared" si="17"/>
        <v>5</v>
      </c>
    </row>
    <row r="521" spans="1:12" x14ac:dyDescent="0.25">
      <c r="A521">
        <v>519</v>
      </c>
      <c r="B521" t="str">
        <f>VLOOKUP(D521,Ngan_hang_cau_hoi!$B$2:$K$142,10,0)</f>
        <v>Chương 5</v>
      </c>
      <c r="C521" t="str">
        <f>VLOOKUP(D521,Ngan_hang_cau_hoi!$B$2:$K$142,9,0)</f>
        <v>Trung bình</v>
      </c>
      <c r="D521">
        <f t="shared" si="16"/>
        <v>104</v>
      </c>
      <c r="F521" t="str">
        <f>IF(L521=2,COUNTIFS($L$1:L521,2,$B$1:B521,"Chương 5"),"")</f>
        <v/>
      </c>
      <c r="G521" t="str">
        <f>VLOOKUP(D521,Ngan_hang_cau_hoi!$B$2:$K$142,L521,0)</f>
        <v>Lỗi nguồn</v>
      </c>
      <c r="H521" t="str">
        <f>IFERROR(VLOOKUP(J521,Ngan_hang_cau_hoi!$I$2:$L$142,4,0),"")</f>
        <v/>
      </c>
      <c r="J521" t="str">
        <f>IF(VLOOKUP(D521,Ngan_hang_cau_hoi!$B$2:$K$142,8,0)=G521,G521,"")</f>
        <v/>
      </c>
      <c r="L521">
        <f t="shared" si="17"/>
        <v>6</v>
      </c>
    </row>
    <row r="522" spans="1:12" x14ac:dyDescent="0.25">
      <c r="A522">
        <v>520</v>
      </c>
      <c r="B522" t="str">
        <f>VLOOKUP(D522,Ngan_hang_cau_hoi!$B$2:$K$142,10,0)</f>
        <v>Chương 5</v>
      </c>
      <c r="C522" t="str">
        <f>VLOOKUP(D522,Ngan_hang_cau_hoi!$B$2:$K$142,9,0)</f>
        <v>Trung bình</v>
      </c>
      <c r="D522">
        <f t="shared" si="16"/>
        <v>105</v>
      </c>
      <c r="F522">
        <f>IF(L522=2,COUNTIFS($L$1:L522,2,$B$1:B522,"Chương 5"),"")</f>
        <v>29</v>
      </c>
      <c r="G522" t="str">
        <f>VLOOKUP(D522,Ngan_hang_cau_hoi!$B$2:$K$142,L522,0)</f>
        <v>Máy tính không lưu được thời gian BIOS sau khi tắt máy, nguyên nhân thường là:</v>
      </c>
      <c r="H522" t="str">
        <f>IFERROR(VLOOKUP(J522,Ngan_hang_cau_hoi!$I$2:$L$142,4,0),"")</f>
        <v/>
      </c>
      <c r="J522" t="str">
        <f>IF(VLOOKUP(D522,Ngan_hang_cau_hoi!$B$2:$K$142,8,0)=G522,G522,"")</f>
        <v/>
      </c>
      <c r="L522">
        <f t="shared" si="17"/>
        <v>2</v>
      </c>
    </row>
    <row r="523" spans="1:12" x14ac:dyDescent="0.25">
      <c r="A523">
        <v>521</v>
      </c>
      <c r="B523" t="str">
        <f>VLOOKUP(D523,Ngan_hang_cau_hoi!$B$2:$K$142,10,0)</f>
        <v>Chương 5</v>
      </c>
      <c r="C523" t="str">
        <f>VLOOKUP(D523,Ngan_hang_cau_hoi!$B$2:$K$142,9,0)</f>
        <v>Trung bình</v>
      </c>
      <c r="D523">
        <f t="shared" si="16"/>
        <v>105</v>
      </c>
      <c r="F523" t="str">
        <f>IF(L523=2,COUNTIFS($L$1:L523,2,$B$1:B523,"Chương 5"),"")</f>
        <v/>
      </c>
      <c r="G523" t="str">
        <f>VLOOKUP(D523,Ngan_hang_cau_hoi!$B$2:$K$142,L523,0)</f>
        <v>Lỗi ổ cứng hoặc đầy dữ liệu</v>
      </c>
      <c r="H523" t="str">
        <f>IFERROR(VLOOKUP(J523,Ngan_hang_cau_hoi!$I$2:$L$142,4,0),"")</f>
        <v/>
      </c>
      <c r="J523" t="str">
        <f>IF(VLOOKUP(D523,Ngan_hang_cau_hoi!$B$2:$K$142,8,0)=G523,G523,"")</f>
        <v/>
      </c>
      <c r="L523">
        <f t="shared" si="17"/>
        <v>3</v>
      </c>
    </row>
    <row r="524" spans="1:12" x14ac:dyDescent="0.25">
      <c r="A524">
        <v>522</v>
      </c>
      <c r="B524" t="str">
        <f>VLOOKUP(D524,Ngan_hang_cau_hoi!$B$2:$K$142,10,0)</f>
        <v>Chương 5</v>
      </c>
      <c r="C524" t="str">
        <f>VLOOKUP(D524,Ngan_hang_cau_hoi!$B$2:$K$142,9,0)</f>
        <v>Trung bình</v>
      </c>
      <c r="D524">
        <f t="shared" si="16"/>
        <v>105</v>
      </c>
      <c r="F524" t="str">
        <f>IF(L524=2,COUNTIFS($L$1:L524,2,$B$1:B524,"Chương 5"),"")</f>
        <v/>
      </c>
      <c r="G524" t="str">
        <f>VLOOKUP(D524,Ngan_hang_cau_hoi!$B$2:$K$142,L524,0)</f>
        <v>Pin CMOS hết</v>
      </c>
      <c r="H524" t="str">
        <f>IFERROR(VLOOKUP(J524,Ngan_hang_cau_hoi!$I$2:$L$142,4,0),"")</f>
        <v>B</v>
      </c>
      <c r="J524" t="str">
        <f>IF(VLOOKUP(D524,Ngan_hang_cau_hoi!$B$2:$K$142,8,0)=G524,G524,"")</f>
        <v>Pin CMOS hết</v>
      </c>
      <c r="L524">
        <f t="shared" si="17"/>
        <v>4</v>
      </c>
    </row>
    <row r="525" spans="1:12" x14ac:dyDescent="0.25">
      <c r="A525">
        <v>523</v>
      </c>
      <c r="B525" t="str">
        <f>VLOOKUP(D525,Ngan_hang_cau_hoi!$B$2:$K$142,10,0)</f>
        <v>Chương 5</v>
      </c>
      <c r="C525" t="str">
        <f>VLOOKUP(D525,Ngan_hang_cau_hoi!$B$2:$K$142,9,0)</f>
        <v>Trung bình</v>
      </c>
      <c r="D525">
        <f t="shared" si="16"/>
        <v>105</v>
      </c>
      <c r="F525" t="str">
        <f>IF(L525=2,COUNTIFS($L$1:L525,2,$B$1:B525,"Chương 5"),"")</f>
        <v/>
      </c>
      <c r="G525" t="str">
        <f>VLOOKUP(D525,Ngan_hang_cau_hoi!$B$2:$K$142,L525,0)</f>
        <v>Lỗi driver</v>
      </c>
      <c r="H525" t="str">
        <f>IFERROR(VLOOKUP(J525,Ngan_hang_cau_hoi!$I$2:$L$142,4,0),"")</f>
        <v/>
      </c>
      <c r="J525" t="str">
        <f>IF(VLOOKUP(D525,Ngan_hang_cau_hoi!$B$2:$K$142,8,0)=G525,G525,"")</f>
        <v/>
      </c>
      <c r="L525">
        <f t="shared" si="17"/>
        <v>5</v>
      </c>
    </row>
    <row r="526" spans="1:12" x14ac:dyDescent="0.25">
      <c r="A526">
        <v>524</v>
      </c>
      <c r="B526" t="str">
        <f>VLOOKUP(D526,Ngan_hang_cau_hoi!$B$2:$K$142,10,0)</f>
        <v>Chương 5</v>
      </c>
      <c r="C526" t="str">
        <f>VLOOKUP(D526,Ngan_hang_cau_hoi!$B$2:$K$142,9,0)</f>
        <v>Trung bình</v>
      </c>
      <c r="D526">
        <f t="shared" si="16"/>
        <v>105</v>
      </c>
      <c r="F526" t="str">
        <f>IF(L526=2,COUNTIFS($L$1:L526,2,$B$1:B526,"Chương 5"),"")</f>
        <v/>
      </c>
      <c r="G526" t="str">
        <f>VLOOKUP(D526,Ngan_hang_cau_hoi!$B$2:$K$142,L526,0)</f>
        <v>Nguồn không đủ công suất</v>
      </c>
      <c r="H526" t="str">
        <f>IFERROR(VLOOKUP(J526,Ngan_hang_cau_hoi!$I$2:$L$142,4,0),"")</f>
        <v/>
      </c>
      <c r="J526" t="str">
        <f>IF(VLOOKUP(D526,Ngan_hang_cau_hoi!$B$2:$K$142,8,0)=G526,G526,"")</f>
        <v/>
      </c>
      <c r="L526">
        <f t="shared" si="17"/>
        <v>6</v>
      </c>
    </row>
    <row r="527" spans="1:12" x14ac:dyDescent="0.25">
      <c r="A527">
        <v>525</v>
      </c>
      <c r="B527" t="str">
        <f>VLOOKUP(D527,Ngan_hang_cau_hoi!$B$2:$K$142,10,0)</f>
        <v>Chương 5</v>
      </c>
      <c r="C527" t="str">
        <f>VLOOKUP(D527,Ngan_hang_cau_hoi!$B$2:$K$142,9,0)</f>
        <v>Trung bình</v>
      </c>
      <c r="D527">
        <f t="shared" si="16"/>
        <v>106</v>
      </c>
      <c r="F527">
        <f>IF(L527=2,COUNTIFS($L$1:L527,2,$B$1:B527,"Chương 5"),"")</f>
        <v>30</v>
      </c>
      <c r="G527" t="str">
        <f>VLOOKUP(D527,Ngan_hang_cau_hoi!$B$2:$K$142,L527,0)</f>
        <v>Máy tính boot vào BIOS liên tục. Nguyên nhân có thể là?</v>
      </c>
      <c r="H527" t="str">
        <f>IFERROR(VLOOKUP(J527,Ngan_hang_cau_hoi!$I$2:$L$142,4,0),"")</f>
        <v/>
      </c>
      <c r="J527" t="str">
        <f>IF(VLOOKUP(D527,Ngan_hang_cau_hoi!$B$2:$K$142,8,0)=G527,G527,"")</f>
        <v/>
      </c>
      <c r="L527">
        <f t="shared" si="17"/>
        <v>2</v>
      </c>
    </row>
    <row r="528" spans="1:12" x14ac:dyDescent="0.25">
      <c r="A528">
        <v>526</v>
      </c>
      <c r="B528" t="str">
        <f>VLOOKUP(D528,Ngan_hang_cau_hoi!$B$2:$K$142,10,0)</f>
        <v>Chương 5</v>
      </c>
      <c r="C528" t="str">
        <f>VLOOKUP(D528,Ngan_hang_cau_hoi!$B$2:$K$142,9,0)</f>
        <v>Trung bình</v>
      </c>
      <c r="D528">
        <f t="shared" si="16"/>
        <v>106</v>
      </c>
      <c r="F528" t="str">
        <f>IF(L528=2,COUNTIFS($L$1:L528,2,$B$1:B528,"Chương 5"),"")</f>
        <v/>
      </c>
      <c r="G528" t="str">
        <f>VLOOKUP(D528,Ngan_hang_cau_hoi!$B$2:$K$142,L528,0)</f>
        <v>BIOS chưa update</v>
      </c>
      <c r="H528" t="str">
        <f>IFERROR(VLOOKUP(J528,Ngan_hang_cau_hoi!$I$2:$L$142,4,0),"")</f>
        <v/>
      </c>
      <c r="J528" t="str">
        <f>IF(VLOOKUP(D528,Ngan_hang_cau_hoi!$B$2:$K$142,8,0)=G528,G528,"")</f>
        <v/>
      </c>
      <c r="L528">
        <f t="shared" si="17"/>
        <v>3</v>
      </c>
    </row>
    <row r="529" spans="1:12" x14ac:dyDescent="0.25">
      <c r="A529">
        <v>527</v>
      </c>
      <c r="B529" t="str">
        <f>VLOOKUP(D529,Ngan_hang_cau_hoi!$B$2:$K$142,10,0)</f>
        <v>Chương 5</v>
      </c>
      <c r="C529" t="str">
        <f>VLOOKUP(D529,Ngan_hang_cau_hoi!$B$2:$K$142,9,0)</f>
        <v>Trung bình</v>
      </c>
      <c r="D529">
        <f t="shared" si="16"/>
        <v>106</v>
      </c>
      <c r="F529" t="str">
        <f>IF(L529=2,COUNTIFS($L$1:L529,2,$B$1:B529,"Chương 5"),"")</f>
        <v/>
      </c>
      <c r="G529" t="str">
        <f>VLOOKUP(D529,Ngan_hang_cau_hoi!$B$2:$K$142,L529,0)</f>
        <v>Quên cắm dây HDMI vào GPU</v>
      </c>
      <c r="H529" t="str">
        <f>IFERROR(VLOOKUP(J529,Ngan_hang_cau_hoi!$I$2:$L$142,4,0),"")</f>
        <v/>
      </c>
      <c r="J529" t="str">
        <f>IF(VLOOKUP(D529,Ngan_hang_cau_hoi!$B$2:$K$142,8,0)=G529,G529,"")</f>
        <v/>
      </c>
      <c r="L529">
        <f t="shared" si="17"/>
        <v>4</v>
      </c>
    </row>
    <row r="530" spans="1:12" x14ac:dyDescent="0.25">
      <c r="A530">
        <v>528</v>
      </c>
      <c r="B530" t="str">
        <f>VLOOKUP(D530,Ngan_hang_cau_hoi!$B$2:$K$142,10,0)</f>
        <v>Chương 5</v>
      </c>
      <c r="C530" t="str">
        <f>VLOOKUP(D530,Ngan_hang_cau_hoi!$B$2:$K$142,9,0)</f>
        <v>Trung bình</v>
      </c>
      <c r="D530">
        <f t="shared" si="16"/>
        <v>106</v>
      </c>
      <c r="F530" t="str">
        <f>IF(L530=2,COUNTIFS($L$1:L530,2,$B$1:B530,"Chương 5"),"")</f>
        <v/>
      </c>
      <c r="G530" t="str">
        <f>VLOOKUP(D530,Ngan_hang_cau_hoi!$B$2:$K$142,L530,0)</f>
        <v>Không có ổ boot</v>
      </c>
      <c r="H530" t="str">
        <f>IFERROR(VLOOKUP(J530,Ngan_hang_cau_hoi!$I$2:$L$142,4,0),"")</f>
        <v>C</v>
      </c>
      <c r="J530" t="str">
        <f>IF(VLOOKUP(D530,Ngan_hang_cau_hoi!$B$2:$K$142,8,0)=G530,G530,"")</f>
        <v>Không có ổ boot</v>
      </c>
      <c r="L530">
        <f t="shared" si="17"/>
        <v>5</v>
      </c>
    </row>
    <row r="531" spans="1:12" x14ac:dyDescent="0.25">
      <c r="A531">
        <v>529</v>
      </c>
      <c r="B531" t="str">
        <f>VLOOKUP(D531,Ngan_hang_cau_hoi!$B$2:$K$142,10,0)</f>
        <v>Chương 5</v>
      </c>
      <c r="C531" t="str">
        <f>VLOOKUP(D531,Ngan_hang_cau_hoi!$B$2:$K$142,9,0)</f>
        <v>Trung bình</v>
      </c>
      <c r="D531">
        <f t="shared" si="16"/>
        <v>106</v>
      </c>
      <c r="F531" t="str">
        <f>IF(L531=2,COUNTIFS($L$1:L531,2,$B$1:B531,"Chương 5"),"")</f>
        <v/>
      </c>
      <c r="G531" t="str">
        <f>VLOOKUP(D531,Ngan_hang_cau_hoi!$B$2:$K$142,L531,0)</f>
        <v>CPU lỗi</v>
      </c>
      <c r="H531" t="str">
        <f>IFERROR(VLOOKUP(J531,Ngan_hang_cau_hoi!$I$2:$L$142,4,0),"")</f>
        <v/>
      </c>
      <c r="J531" t="str">
        <f>IF(VLOOKUP(D531,Ngan_hang_cau_hoi!$B$2:$K$142,8,0)=G531,G531,"")</f>
        <v/>
      </c>
      <c r="L531">
        <f t="shared" si="17"/>
        <v>6</v>
      </c>
    </row>
    <row r="532" spans="1:12" x14ac:dyDescent="0.25">
      <c r="A532">
        <v>530</v>
      </c>
      <c r="B532" t="str">
        <f>VLOOKUP(D532,Ngan_hang_cau_hoi!$B$2:$K$142,10,0)</f>
        <v>Chương 5</v>
      </c>
      <c r="C532" t="str">
        <f>VLOOKUP(D532,Ngan_hang_cau_hoi!$B$2:$K$142,9,0)</f>
        <v>Trung bình</v>
      </c>
      <c r="D532">
        <f t="shared" si="16"/>
        <v>107</v>
      </c>
      <c r="F532">
        <f>IF(L532=2,COUNTIFS($L$1:L532,2,$B$1:B532,"Chương 5"),"")</f>
        <v>31</v>
      </c>
      <c r="G532" t="str">
        <f>VLOOKUP(D532,Ngan_hang_cau_hoi!$B$2:$K$142,L532,0)</f>
        <v>Máy tính boot nhưng không vào hệ điều hành Windows, lỗi là?</v>
      </c>
      <c r="H532" t="str">
        <f>IFERROR(VLOOKUP(J532,Ngan_hang_cau_hoi!$I$2:$L$142,4,0),"")</f>
        <v/>
      </c>
      <c r="J532" t="str">
        <f>IF(VLOOKUP(D532,Ngan_hang_cau_hoi!$B$2:$K$142,8,0)=G532,G532,"")</f>
        <v/>
      </c>
      <c r="L532">
        <f t="shared" si="17"/>
        <v>2</v>
      </c>
    </row>
    <row r="533" spans="1:12" x14ac:dyDescent="0.25">
      <c r="A533">
        <v>531</v>
      </c>
      <c r="B533" t="str">
        <f>VLOOKUP(D533,Ngan_hang_cau_hoi!$B$2:$K$142,10,0)</f>
        <v>Chương 5</v>
      </c>
      <c r="C533" t="str">
        <f>VLOOKUP(D533,Ngan_hang_cau_hoi!$B$2:$K$142,9,0)</f>
        <v>Trung bình</v>
      </c>
      <c r="D533">
        <f t="shared" si="16"/>
        <v>107</v>
      </c>
      <c r="F533" t="str">
        <f>IF(L533=2,COUNTIFS($L$1:L533,2,$B$1:B533,"Chương 5"),"")</f>
        <v/>
      </c>
      <c r="G533" t="str">
        <f>VLOOKUP(D533,Ngan_hang_cau_hoi!$B$2:$K$142,L533,0)</f>
        <v>SSD chưa cài hệ điều hành</v>
      </c>
      <c r="H533" t="str">
        <f>IFERROR(VLOOKUP(J533,Ngan_hang_cau_hoi!$I$2:$L$142,4,0),"")</f>
        <v>A</v>
      </c>
      <c r="J533" t="str">
        <f>IF(VLOOKUP(D533,Ngan_hang_cau_hoi!$B$2:$K$142,8,0)=G533,G533,"")</f>
        <v>SSD chưa cài hệ điều hành</v>
      </c>
      <c r="L533">
        <f t="shared" si="17"/>
        <v>3</v>
      </c>
    </row>
    <row r="534" spans="1:12" x14ac:dyDescent="0.25">
      <c r="A534">
        <v>532</v>
      </c>
      <c r="B534" t="str">
        <f>VLOOKUP(D534,Ngan_hang_cau_hoi!$B$2:$K$142,10,0)</f>
        <v>Chương 5</v>
      </c>
      <c r="C534" t="str">
        <f>VLOOKUP(D534,Ngan_hang_cau_hoi!$B$2:$K$142,9,0)</f>
        <v>Trung bình</v>
      </c>
      <c r="D534">
        <f t="shared" si="16"/>
        <v>107</v>
      </c>
      <c r="F534" t="str">
        <f>IF(L534=2,COUNTIFS($L$1:L534,2,$B$1:B534,"Chương 5"),"")</f>
        <v/>
      </c>
      <c r="G534" t="str">
        <f>VLOOKUP(D534,Ngan_hang_cau_hoi!$B$2:$K$142,L534,0)</f>
        <v>GPU lỗi</v>
      </c>
      <c r="H534" t="str">
        <f>IFERROR(VLOOKUP(J534,Ngan_hang_cau_hoi!$I$2:$L$142,4,0),"")</f>
        <v/>
      </c>
      <c r="J534" t="str">
        <f>IF(VLOOKUP(D534,Ngan_hang_cau_hoi!$B$2:$K$142,8,0)=G534,G534,"")</f>
        <v/>
      </c>
      <c r="L534">
        <f t="shared" si="17"/>
        <v>4</v>
      </c>
    </row>
    <row r="535" spans="1:12" x14ac:dyDescent="0.25">
      <c r="A535">
        <v>533</v>
      </c>
      <c r="B535" t="str">
        <f>VLOOKUP(D535,Ngan_hang_cau_hoi!$B$2:$K$142,10,0)</f>
        <v>Chương 5</v>
      </c>
      <c r="C535" t="str">
        <f>VLOOKUP(D535,Ngan_hang_cau_hoi!$B$2:$K$142,9,0)</f>
        <v>Trung bình</v>
      </c>
      <c r="D535">
        <f t="shared" si="16"/>
        <v>107</v>
      </c>
      <c r="F535" t="str">
        <f>IF(L535=2,COUNTIFS($L$1:L535,2,$B$1:B535,"Chương 5"),"")</f>
        <v/>
      </c>
      <c r="G535" t="str">
        <f>VLOOKUP(D535,Ngan_hang_cau_hoi!$B$2:$K$142,L535,0)</f>
        <v>RAM lỗi</v>
      </c>
      <c r="H535" t="str">
        <f>IFERROR(VLOOKUP(J535,Ngan_hang_cau_hoi!$I$2:$L$142,4,0),"")</f>
        <v/>
      </c>
      <c r="J535" t="str">
        <f>IF(VLOOKUP(D535,Ngan_hang_cau_hoi!$B$2:$K$142,8,0)=G535,G535,"")</f>
        <v/>
      </c>
      <c r="L535">
        <f t="shared" si="17"/>
        <v>5</v>
      </c>
    </row>
    <row r="536" spans="1:12" x14ac:dyDescent="0.25">
      <c r="A536">
        <v>534</v>
      </c>
      <c r="B536" t="str">
        <f>VLOOKUP(D536,Ngan_hang_cau_hoi!$B$2:$K$142,10,0)</f>
        <v>Chương 5</v>
      </c>
      <c r="C536" t="str">
        <f>VLOOKUP(D536,Ngan_hang_cau_hoi!$B$2:$K$142,9,0)</f>
        <v>Trung bình</v>
      </c>
      <c r="D536">
        <f t="shared" si="16"/>
        <v>107</v>
      </c>
      <c r="F536" t="str">
        <f>IF(L536=2,COUNTIFS($L$1:L536,2,$B$1:B536,"Chương 5"),"")</f>
        <v/>
      </c>
      <c r="G536" t="str">
        <f>VLOOKUP(D536,Ngan_hang_cau_hoi!$B$2:$K$142,L536,0)</f>
        <v>RAM không tương thích</v>
      </c>
      <c r="H536" t="str">
        <f>IFERROR(VLOOKUP(J536,Ngan_hang_cau_hoi!$I$2:$L$142,4,0),"")</f>
        <v/>
      </c>
      <c r="J536" t="str">
        <f>IF(VLOOKUP(D536,Ngan_hang_cau_hoi!$B$2:$K$142,8,0)=G536,G536,"")</f>
        <v/>
      </c>
      <c r="L536">
        <f t="shared" si="17"/>
        <v>6</v>
      </c>
    </row>
    <row r="537" spans="1:12" x14ac:dyDescent="0.25">
      <c r="A537">
        <v>535</v>
      </c>
      <c r="B537" t="str">
        <f>VLOOKUP(D537,Ngan_hang_cau_hoi!$B$2:$K$142,10,0)</f>
        <v>Chương 5</v>
      </c>
      <c r="C537" t="str">
        <f>VLOOKUP(D537,Ngan_hang_cau_hoi!$B$2:$K$142,9,0)</f>
        <v>Trung bình</v>
      </c>
      <c r="D537">
        <f t="shared" si="16"/>
        <v>108</v>
      </c>
      <c r="F537">
        <f>IF(L537=2,COUNTIFS($L$1:L537,2,$B$1:B537,"Chương 5"),"")</f>
        <v>32</v>
      </c>
      <c r="G537" t="str">
        <f>VLOOKUP(D537,Ngan_hang_cau_hoi!$B$2:$K$142,L537,0)</f>
        <v>Máy tính bị treo tạm thời khi mở nhiều ứng dụng. Nguyên nhân có thể?</v>
      </c>
      <c r="H537" t="str">
        <f>IFERROR(VLOOKUP(J537,Ngan_hang_cau_hoi!$I$2:$L$142,4,0),"")</f>
        <v/>
      </c>
      <c r="J537" t="str">
        <f>IF(VLOOKUP(D537,Ngan_hang_cau_hoi!$B$2:$K$142,8,0)=G537,G537,"")</f>
        <v/>
      </c>
      <c r="L537">
        <f t="shared" si="17"/>
        <v>2</v>
      </c>
    </row>
    <row r="538" spans="1:12" x14ac:dyDescent="0.25">
      <c r="A538">
        <v>536</v>
      </c>
      <c r="B538" t="str">
        <f>VLOOKUP(D538,Ngan_hang_cau_hoi!$B$2:$K$142,10,0)</f>
        <v>Chương 5</v>
      </c>
      <c r="C538" t="str">
        <f>VLOOKUP(D538,Ngan_hang_cau_hoi!$B$2:$K$142,9,0)</f>
        <v>Trung bình</v>
      </c>
      <c r="D538">
        <f t="shared" si="16"/>
        <v>108</v>
      </c>
      <c r="F538" t="str">
        <f>IF(L538=2,COUNTIFS($L$1:L538,2,$B$1:B538,"Chương 5"),"")</f>
        <v/>
      </c>
      <c r="G538" t="str">
        <f>VLOOKUP(D538,Ngan_hang_cau_hoi!$B$2:$K$142,L538,0)</f>
        <v>Thiếu RAM</v>
      </c>
      <c r="H538" t="str">
        <f>IFERROR(VLOOKUP(J538,Ngan_hang_cau_hoi!$I$2:$L$142,4,0),"")</f>
        <v>A</v>
      </c>
      <c r="J538" t="str">
        <f>IF(VLOOKUP(D538,Ngan_hang_cau_hoi!$B$2:$K$142,8,0)=G538,G538,"")</f>
        <v>Thiếu RAM</v>
      </c>
      <c r="L538">
        <f t="shared" si="17"/>
        <v>3</v>
      </c>
    </row>
    <row r="539" spans="1:12" x14ac:dyDescent="0.25">
      <c r="A539">
        <v>537</v>
      </c>
      <c r="B539" t="str">
        <f>VLOOKUP(D539,Ngan_hang_cau_hoi!$B$2:$K$142,10,0)</f>
        <v>Chương 5</v>
      </c>
      <c r="C539" t="str">
        <f>VLOOKUP(D539,Ngan_hang_cau_hoi!$B$2:$K$142,9,0)</f>
        <v>Trung bình</v>
      </c>
      <c r="D539">
        <f t="shared" si="16"/>
        <v>108</v>
      </c>
      <c r="F539" t="str">
        <f>IF(L539=2,COUNTIFS($L$1:L539,2,$B$1:B539,"Chương 5"),"")</f>
        <v/>
      </c>
      <c r="G539" t="str">
        <f>VLOOKUP(D539,Ngan_hang_cau_hoi!$B$2:$K$142,L539,0)</f>
        <v>SSD lỗi</v>
      </c>
      <c r="H539" t="str">
        <f>IFERROR(VLOOKUP(J539,Ngan_hang_cau_hoi!$I$2:$L$142,4,0),"")</f>
        <v/>
      </c>
      <c r="J539" t="str">
        <f>IF(VLOOKUP(D539,Ngan_hang_cau_hoi!$B$2:$K$142,8,0)=G539,G539,"")</f>
        <v/>
      </c>
      <c r="L539">
        <f t="shared" si="17"/>
        <v>4</v>
      </c>
    </row>
    <row r="540" spans="1:12" x14ac:dyDescent="0.25">
      <c r="A540">
        <v>538</v>
      </c>
      <c r="B540" t="str">
        <f>VLOOKUP(D540,Ngan_hang_cau_hoi!$B$2:$K$142,10,0)</f>
        <v>Chương 5</v>
      </c>
      <c r="C540" t="str">
        <f>VLOOKUP(D540,Ngan_hang_cau_hoi!$B$2:$K$142,9,0)</f>
        <v>Trung bình</v>
      </c>
      <c r="D540">
        <f t="shared" si="16"/>
        <v>108</v>
      </c>
      <c r="F540" t="str">
        <f>IF(L540=2,COUNTIFS($L$1:L540,2,$B$1:B540,"Chương 5"),"")</f>
        <v/>
      </c>
      <c r="G540" t="str">
        <f>VLOOKUP(D540,Ngan_hang_cau_hoi!$B$2:$K$142,L540,0)</f>
        <v>GPU lỗi</v>
      </c>
      <c r="H540" t="str">
        <f>IFERROR(VLOOKUP(J540,Ngan_hang_cau_hoi!$I$2:$L$142,4,0),"")</f>
        <v/>
      </c>
      <c r="J540" t="str">
        <f>IF(VLOOKUP(D540,Ngan_hang_cau_hoi!$B$2:$K$142,8,0)=G540,G540,"")</f>
        <v/>
      </c>
      <c r="L540">
        <f t="shared" si="17"/>
        <v>5</v>
      </c>
    </row>
    <row r="541" spans="1:12" x14ac:dyDescent="0.25">
      <c r="A541">
        <v>539</v>
      </c>
      <c r="B541" t="str">
        <f>VLOOKUP(D541,Ngan_hang_cau_hoi!$B$2:$K$142,10,0)</f>
        <v>Chương 5</v>
      </c>
      <c r="C541" t="str">
        <f>VLOOKUP(D541,Ngan_hang_cau_hoi!$B$2:$K$142,9,0)</f>
        <v>Trung bình</v>
      </c>
      <c r="D541">
        <f t="shared" si="16"/>
        <v>108</v>
      </c>
      <c r="F541" t="str">
        <f>IF(L541=2,COUNTIFS($L$1:L541,2,$B$1:B541,"Chương 5"),"")</f>
        <v/>
      </c>
      <c r="G541" t="str">
        <f>VLOOKUP(D541,Ngan_hang_cau_hoi!$B$2:$K$142,L541,0)</f>
        <v>PSU yếu</v>
      </c>
      <c r="H541" t="str">
        <f>IFERROR(VLOOKUP(J541,Ngan_hang_cau_hoi!$I$2:$L$142,4,0),"")</f>
        <v/>
      </c>
      <c r="J541" t="str">
        <f>IF(VLOOKUP(D541,Ngan_hang_cau_hoi!$B$2:$K$142,8,0)=G541,G541,"")</f>
        <v/>
      </c>
      <c r="L541">
        <f t="shared" si="17"/>
        <v>6</v>
      </c>
    </row>
    <row r="542" spans="1:12" x14ac:dyDescent="0.25">
      <c r="A542">
        <v>540</v>
      </c>
      <c r="B542" t="str">
        <f>VLOOKUP(D542,Ngan_hang_cau_hoi!$B$2:$K$142,10,0)</f>
        <v>Chương 5</v>
      </c>
      <c r="C542" t="str">
        <f>VLOOKUP(D542,Ngan_hang_cau_hoi!$B$2:$K$142,9,0)</f>
        <v>Trung bình</v>
      </c>
      <c r="D542">
        <f t="shared" si="16"/>
        <v>109</v>
      </c>
      <c r="F542">
        <f>IF(L542=2,COUNTIFS($L$1:L542,2,$B$1:B542,"Chương 5"),"")</f>
        <v>33</v>
      </c>
      <c r="G542" t="str">
        <f>VLOOKUP(D542,Ngan_hang_cau_hoi!$B$2:$K$142,L542,0)</f>
        <v>Máy tính bật nhưng quạt CPU không quay. Nguyên nhân có thể là:</v>
      </c>
      <c r="H542" t="str">
        <f>IFERROR(VLOOKUP(J542,Ngan_hang_cau_hoi!$I$2:$L$142,4,0),"")</f>
        <v/>
      </c>
      <c r="J542" t="str">
        <f>IF(VLOOKUP(D542,Ngan_hang_cau_hoi!$B$2:$K$142,8,0)=G542,G542,"")</f>
        <v/>
      </c>
      <c r="L542">
        <f t="shared" si="17"/>
        <v>2</v>
      </c>
    </row>
    <row r="543" spans="1:12" x14ac:dyDescent="0.25">
      <c r="A543">
        <v>541</v>
      </c>
      <c r="B543" t="str">
        <f>VLOOKUP(D543,Ngan_hang_cau_hoi!$B$2:$K$142,10,0)</f>
        <v>Chương 5</v>
      </c>
      <c r="C543" t="str">
        <f>VLOOKUP(D543,Ngan_hang_cau_hoi!$B$2:$K$142,9,0)</f>
        <v>Trung bình</v>
      </c>
      <c r="D543">
        <f t="shared" si="16"/>
        <v>109</v>
      </c>
      <c r="F543" t="str">
        <f>IF(L543=2,COUNTIFS($L$1:L543,2,$B$1:B543,"Chương 5"),"")</f>
        <v/>
      </c>
      <c r="G543" t="str">
        <f>VLOOKUP(D543,Ngan_hang_cau_hoi!$B$2:$K$142,L543,0)</f>
        <v>Chưa cắm dây CPU fan</v>
      </c>
      <c r="H543" t="str">
        <f>IFERROR(VLOOKUP(J543,Ngan_hang_cau_hoi!$I$2:$L$142,4,0),"")</f>
        <v>A</v>
      </c>
      <c r="J543" t="str">
        <f>IF(VLOOKUP(D543,Ngan_hang_cau_hoi!$B$2:$K$142,8,0)=G543,G543,"")</f>
        <v>Chưa cắm dây CPU fan</v>
      </c>
      <c r="L543">
        <f t="shared" si="17"/>
        <v>3</v>
      </c>
    </row>
    <row r="544" spans="1:12" x14ac:dyDescent="0.25">
      <c r="A544">
        <v>542</v>
      </c>
      <c r="B544" t="str">
        <f>VLOOKUP(D544,Ngan_hang_cau_hoi!$B$2:$K$142,10,0)</f>
        <v>Chương 5</v>
      </c>
      <c r="C544" t="str">
        <f>VLOOKUP(D544,Ngan_hang_cau_hoi!$B$2:$K$142,9,0)</f>
        <v>Trung bình</v>
      </c>
      <c r="D544">
        <f t="shared" si="16"/>
        <v>109</v>
      </c>
      <c r="F544" t="str">
        <f>IF(L544=2,COUNTIFS($L$1:L544,2,$B$1:B544,"Chương 5"),"")</f>
        <v/>
      </c>
      <c r="G544" t="str">
        <f>VLOOKUP(D544,Ngan_hang_cau_hoi!$B$2:$K$142,L544,0)</f>
        <v>Dây power case cắm sai</v>
      </c>
      <c r="H544" t="str">
        <f>IFERROR(VLOOKUP(J544,Ngan_hang_cau_hoi!$I$2:$L$142,4,0),"")</f>
        <v/>
      </c>
      <c r="J544" t="str">
        <f>IF(VLOOKUP(D544,Ngan_hang_cau_hoi!$B$2:$K$142,8,0)=G544,G544,"")</f>
        <v/>
      </c>
      <c r="L544">
        <f t="shared" si="17"/>
        <v>4</v>
      </c>
    </row>
    <row r="545" spans="1:12" x14ac:dyDescent="0.25">
      <c r="A545">
        <v>543</v>
      </c>
      <c r="B545" t="str">
        <f>VLOOKUP(D545,Ngan_hang_cau_hoi!$B$2:$K$142,10,0)</f>
        <v>Chương 5</v>
      </c>
      <c r="C545" t="str">
        <f>VLOOKUP(D545,Ngan_hang_cau_hoi!$B$2:$K$142,9,0)</f>
        <v>Trung bình</v>
      </c>
      <c r="D545">
        <f t="shared" si="16"/>
        <v>109</v>
      </c>
      <c r="F545" t="str">
        <f>IF(L545=2,COUNTIFS($L$1:L545,2,$B$1:B545,"Chương 5"),"")</f>
        <v/>
      </c>
      <c r="G545" t="str">
        <f>VLOOKUP(D545,Ngan_hang_cau_hoi!$B$2:$K$142,L545,0)</f>
        <v>PSU không cấp điện</v>
      </c>
      <c r="H545" t="str">
        <f>IFERROR(VLOOKUP(J545,Ngan_hang_cau_hoi!$I$2:$L$142,4,0),"")</f>
        <v/>
      </c>
      <c r="J545" t="str">
        <f>IF(VLOOKUP(D545,Ngan_hang_cau_hoi!$B$2:$K$142,8,0)=G545,G545,"")</f>
        <v/>
      </c>
      <c r="L545">
        <f t="shared" si="17"/>
        <v>5</v>
      </c>
    </row>
    <row r="546" spans="1:12" x14ac:dyDescent="0.25">
      <c r="A546">
        <v>544</v>
      </c>
      <c r="B546" t="str">
        <f>VLOOKUP(D546,Ngan_hang_cau_hoi!$B$2:$K$142,10,0)</f>
        <v>Chương 5</v>
      </c>
      <c r="C546" t="str">
        <f>VLOOKUP(D546,Ngan_hang_cau_hoi!$B$2:$K$142,9,0)</f>
        <v>Trung bình</v>
      </c>
      <c r="D546">
        <f t="shared" si="16"/>
        <v>109</v>
      </c>
      <c r="F546" t="str">
        <f>IF(L546=2,COUNTIFS($L$1:L546,2,$B$1:B546,"Chương 5"),"")</f>
        <v/>
      </c>
      <c r="G546" t="str">
        <f>VLOOKUP(D546,Ngan_hang_cau_hoi!$B$2:$K$142,L546,0)</f>
        <v>RAM lỗi</v>
      </c>
      <c r="H546" t="str">
        <f>IFERROR(VLOOKUP(J546,Ngan_hang_cau_hoi!$I$2:$L$142,4,0),"")</f>
        <v/>
      </c>
      <c r="J546" t="str">
        <f>IF(VLOOKUP(D546,Ngan_hang_cau_hoi!$B$2:$K$142,8,0)=G546,G546,"")</f>
        <v/>
      </c>
      <c r="L546">
        <f t="shared" si="17"/>
        <v>6</v>
      </c>
    </row>
    <row r="547" spans="1:12" x14ac:dyDescent="0.25">
      <c r="A547">
        <v>545</v>
      </c>
      <c r="B547" t="str">
        <f>VLOOKUP(D547,Ngan_hang_cau_hoi!$B$2:$K$142,10,0)</f>
        <v>Chương 5</v>
      </c>
      <c r="C547" t="str">
        <f>VLOOKUP(D547,Ngan_hang_cau_hoi!$B$2:$K$142,9,0)</f>
        <v>Trung bình</v>
      </c>
      <c r="D547">
        <f t="shared" si="16"/>
        <v>110</v>
      </c>
      <c r="F547">
        <f>IF(L547=2,COUNTIFS($L$1:L547,2,$B$1:B547,"Chương 5"),"")</f>
        <v>34</v>
      </c>
      <c r="G547" t="str">
        <f>VLOOKUP(D547,Ngan_hang_cau_hoi!$B$2:$K$142,L547,0)</f>
        <v>Máy tính bật nhưng BIOS không nhận CPU. Nguyên nhân có thể:</v>
      </c>
      <c r="H547" t="str">
        <f>IFERROR(VLOOKUP(J547,Ngan_hang_cau_hoi!$I$2:$L$142,4,0),"")</f>
        <v/>
      </c>
      <c r="J547" t="str">
        <f>IF(VLOOKUP(D547,Ngan_hang_cau_hoi!$B$2:$K$142,8,0)=G547,G547,"")</f>
        <v/>
      </c>
      <c r="L547">
        <f t="shared" si="17"/>
        <v>2</v>
      </c>
    </row>
    <row r="548" spans="1:12" x14ac:dyDescent="0.25">
      <c r="A548">
        <v>546</v>
      </c>
      <c r="B548" t="str">
        <f>VLOOKUP(D548,Ngan_hang_cau_hoi!$B$2:$K$142,10,0)</f>
        <v>Chương 5</v>
      </c>
      <c r="C548" t="str">
        <f>VLOOKUP(D548,Ngan_hang_cau_hoi!$B$2:$K$142,9,0)</f>
        <v>Trung bình</v>
      </c>
      <c r="D548">
        <f t="shared" si="16"/>
        <v>110</v>
      </c>
      <c r="F548" t="str">
        <f>IF(L548=2,COUNTIFS($L$1:L548,2,$B$1:B548,"Chương 5"),"")</f>
        <v/>
      </c>
      <c r="G548" t="str">
        <f>VLOOKUP(D548,Ngan_hang_cau_hoi!$B$2:$K$142,L548,0)</f>
        <v>BIOS chưa update</v>
      </c>
      <c r="H548" t="str">
        <f>IFERROR(VLOOKUP(J548,Ngan_hang_cau_hoi!$I$2:$L$142,4,0),"")</f>
        <v>A</v>
      </c>
      <c r="J548" t="str">
        <f>IF(VLOOKUP(D548,Ngan_hang_cau_hoi!$B$2:$K$142,8,0)=G548,G548,"")</f>
        <v>BIOS chưa update</v>
      </c>
      <c r="L548">
        <f t="shared" si="17"/>
        <v>3</v>
      </c>
    </row>
    <row r="549" spans="1:12" x14ac:dyDescent="0.25">
      <c r="A549">
        <v>547</v>
      </c>
      <c r="B549" t="str">
        <f>VLOOKUP(D549,Ngan_hang_cau_hoi!$B$2:$K$142,10,0)</f>
        <v>Chương 5</v>
      </c>
      <c r="C549" t="str">
        <f>VLOOKUP(D549,Ngan_hang_cau_hoi!$B$2:$K$142,9,0)</f>
        <v>Trung bình</v>
      </c>
      <c r="D549">
        <f t="shared" si="16"/>
        <v>110</v>
      </c>
      <c r="F549" t="str">
        <f>IF(L549=2,COUNTIFS($L$1:L549,2,$B$1:B549,"Chương 5"),"")</f>
        <v/>
      </c>
      <c r="G549" t="str">
        <f>VLOOKUP(D549,Ngan_hang_cau_hoi!$B$2:$K$142,L549,0)</f>
        <v>SSD lỗi</v>
      </c>
      <c r="H549" t="str">
        <f>IFERROR(VLOOKUP(J549,Ngan_hang_cau_hoi!$I$2:$L$142,4,0),"")</f>
        <v/>
      </c>
      <c r="J549" t="str">
        <f>IF(VLOOKUP(D549,Ngan_hang_cau_hoi!$B$2:$K$142,8,0)=G549,G549,"")</f>
        <v/>
      </c>
      <c r="L549">
        <f t="shared" si="17"/>
        <v>4</v>
      </c>
    </row>
    <row r="550" spans="1:12" x14ac:dyDescent="0.25">
      <c r="A550">
        <v>548</v>
      </c>
      <c r="B550" t="str">
        <f>VLOOKUP(D550,Ngan_hang_cau_hoi!$B$2:$K$142,10,0)</f>
        <v>Chương 5</v>
      </c>
      <c r="C550" t="str">
        <f>VLOOKUP(D550,Ngan_hang_cau_hoi!$B$2:$K$142,9,0)</f>
        <v>Trung bình</v>
      </c>
      <c r="D550">
        <f t="shared" si="16"/>
        <v>110</v>
      </c>
      <c r="F550" t="str">
        <f>IF(L550=2,COUNTIFS($L$1:L550,2,$B$1:B550,"Chương 5"),"")</f>
        <v/>
      </c>
      <c r="G550" t="str">
        <f>VLOOKUP(D550,Ngan_hang_cau_hoi!$B$2:$K$142,L550,0)</f>
        <v>RAM lỗi</v>
      </c>
      <c r="H550" t="str">
        <f>IFERROR(VLOOKUP(J550,Ngan_hang_cau_hoi!$I$2:$L$142,4,0),"")</f>
        <v/>
      </c>
      <c r="J550" t="str">
        <f>IF(VLOOKUP(D550,Ngan_hang_cau_hoi!$B$2:$K$142,8,0)=G550,G550,"")</f>
        <v/>
      </c>
      <c r="L550">
        <f t="shared" si="17"/>
        <v>5</v>
      </c>
    </row>
    <row r="551" spans="1:12" x14ac:dyDescent="0.25">
      <c r="A551">
        <v>549</v>
      </c>
      <c r="B551" t="str">
        <f>VLOOKUP(D551,Ngan_hang_cau_hoi!$B$2:$K$142,10,0)</f>
        <v>Chương 5</v>
      </c>
      <c r="C551" t="str">
        <f>VLOOKUP(D551,Ngan_hang_cau_hoi!$B$2:$K$142,9,0)</f>
        <v>Trung bình</v>
      </c>
      <c r="D551">
        <f t="shared" si="16"/>
        <v>110</v>
      </c>
      <c r="F551" t="str">
        <f>IF(L551=2,COUNTIFS($L$1:L551,2,$B$1:B551,"Chương 5"),"")</f>
        <v/>
      </c>
      <c r="G551" t="str">
        <f>VLOOKUP(D551,Ngan_hang_cau_hoi!$B$2:$K$142,L551,0)</f>
        <v>Dây power case cắm sai</v>
      </c>
      <c r="H551" t="str">
        <f>IFERROR(VLOOKUP(J551,Ngan_hang_cau_hoi!$I$2:$L$142,4,0),"")</f>
        <v/>
      </c>
      <c r="J551" t="str">
        <f>IF(VLOOKUP(D551,Ngan_hang_cau_hoi!$B$2:$K$142,8,0)=G551,G551,"")</f>
        <v/>
      </c>
      <c r="L551">
        <f t="shared" si="17"/>
        <v>6</v>
      </c>
    </row>
    <row r="552" spans="1:12" x14ac:dyDescent="0.25">
      <c r="A552">
        <v>550</v>
      </c>
      <c r="B552" t="str">
        <f>VLOOKUP(D552,Ngan_hang_cau_hoi!$B$2:$K$142,10,0)</f>
        <v>Chương 5</v>
      </c>
      <c r="C552" t="str">
        <f>VLOOKUP(D552,Ngan_hang_cau_hoi!$B$2:$K$142,9,0)</f>
        <v>Trung bình</v>
      </c>
      <c r="D552">
        <f t="shared" si="16"/>
        <v>111</v>
      </c>
      <c r="F552">
        <f>IF(L552=2,COUNTIFS($L$1:L552,2,$B$1:B552,"Chương 5"),"")</f>
        <v>35</v>
      </c>
      <c r="G552" t="str">
        <f>VLOOKUP(D552,Ngan_hang_cau_hoi!$B$2:$K$142,L552,0)</f>
        <v>Máy tính bật nguồn, quạt quay nhưng không lên hình. Nguyên nhân phổ biến nhất:</v>
      </c>
      <c r="H552" t="str">
        <f>IFERROR(VLOOKUP(J552,Ngan_hang_cau_hoi!$I$2:$L$142,4,0),"")</f>
        <v/>
      </c>
      <c r="J552" t="str">
        <f>IF(VLOOKUP(D552,Ngan_hang_cau_hoi!$B$2:$K$142,8,0)=G552,G552,"")</f>
        <v/>
      </c>
      <c r="L552">
        <f t="shared" si="17"/>
        <v>2</v>
      </c>
    </row>
    <row r="553" spans="1:12" x14ac:dyDescent="0.25">
      <c r="A553">
        <v>551</v>
      </c>
      <c r="B553" t="str">
        <f>VLOOKUP(D553,Ngan_hang_cau_hoi!$B$2:$K$142,10,0)</f>
        <v>Chương 5</v>
      </c>
      <c r="C553" t="str">
        <f>VLOOKUP(D553,Ngan_hang_cau_hoi!$B$2:$K$142,9,0)</f>
        <v>Trung bình</v>
      </c>
      <c r="D553">
        <f t="shared" si="16"/>
        <v>111</v>
      </c>
      <c r="F553" t="str">
        <f>IF(L553=2,COUNTIFS($L$1:L553,2,$B$1:B553,"Chương 5"),"")</f>
        <v/>
      </c>
      <c r="G553" t="str">
        <f>VLOOKUP(D553,Ngan_hang_cau_hoi!$B$2:$K$142,L553,0)</f>
        <v>RAM lỏng</v>
      </c>
      <c r="H553" t="str">
        <f>IFERROR(VLOOKUP(J553,Ngan_hang_cau_hoi!$I$2:$L$142,4,0),"")</f>
        <v>A</v>
      </c>
      <c r="J553" t="str">
        <f>IF(VLOOKUP(D553,Ngan_hang_cau_hoi!$B$2:$K$142,8,0)=G553,G553,"")</f>
        <v>RAM lỏng</v>
      </c>
      <c r="L553">
        <f t="shared" si="17"/>
        <v>3</v>
      </c>
    </row>
    <row r="554" spans="1:12" x14ac:dyDescent="0.25">
      <c r="A554">
        <v>552</v>
      </c>
      <c r="B554" t="str">
        <f>VLOOKUP(D554,Ngan_hang_cau_hoi!$B$2:$K$142,10,0)</f>
        <v>Chương 5</v>
      </c>
      <c r="C554" t="str">
        <f>VLOOKUP(D554,Ngan_hang_cau_hoi!$B$2:$K$142,9,0)</f>
        <v>Trung bình</v>
      </c>
      <c r="D554">
        <f t="shared" si="16"/>
        <v>111</v>
      </c>
      <c r="F554" t="str">
        <f>IF(L554=2,COUNTIFS($L$1:L554,2,$B$1:B554,"Chương 5"),"")</f>
        <v/>
      </c>
      <c r="G554" t="str">
        <f>VLOOKUP(D554,Ngan_hang_cau_hoi!$B$2:$K$142,L554,0)</f>
        <v>SSD lỗi</v>
      </c>
      <c r="H554" t="str">
        <f>IFERROR(VLOOKUP(J554,Ngan_hang_cau_hoi!$I$2:$L$142,4,0),"")</f>
        <v/>
      </c>
      <c r="J554" t="str">
        <f>IF(VLOOKUP(D554,Ngan_hang_cau_hoi!$B$2:$K$142,8,0)=G554,G554,"")</f>
        <v/>
      </c>
      <c r="L554">
        <f t="shared" si="17"/>
        <v>4</v>
      </c>
    </row>
    <row r="555" spans="1:12" x14ac:dyDescent="0.25">
      <c r="A555">
        <v>553</v>
      </c>
      <c r="B555" t="str">
        <f>VLOOKUP(D555,Ngan_hang_cau_hoi!$B$2:$K$142,10,0)</f>
        <v>Chương 5</v>
      </c>
      <c r="C555" t="str">
        <f>VLOOKUP(D555,Ngan_hang_cau_hoi!$B$2:$K$142,9,0)</f>
        <v>Trung bình</v>
      </c>
      <c r="D555">
        <f t="shared" si="16"/>
        <v>111</v>
      </c>
      <c r="F555" t="str">
        <f>IF(L555=2,COUNTIFS($L$1:L555,2,$B$1:B555,"Chương 5"),"")</f>
        <v/>
      </c>
      <c r="G555" t="str">
        <f>VLOOKUP(D555,Ngan_hang_cau_hoi!$B$2:$K$142,L555,0)</f>
        <v>HDD lỗi</v>
      </c>
      <c r="H555" t="str">
        <f>IFERROR(VLOOKUP(J555,Ngan_hang_cau_hoi!$I$2:$L$142,4,0),"")</f>
        <v/>
      </c>
      <c r="J555" t="str">
        <f>IF(VLOOKUP(D555,Ngan_hang_cau_hoi!$B$2:$K$142,8,0)=G555,G555,"")</f>
        <v/>
      </c>
      <c r="L555">
        <f t="shared" si="17"/>
        <v>5</v>
      </c>
    </row>
    <row r="556" spans="1:12" x14ac:dyDescent="0.25">
      <c r="A556">
        <v>554</v>
      </c>
      <c r="B556" t="str">
        <f>VLOOKUP(D556,Ngan_hang_cau_hoi!$B$2:$K$142,10,0)</f>
        <v>Chương 5</v>
      </c>
      <c r="C556" t="str">
        <f>VLOOKUP(D556,Ngan_hang_cau_hoi!$B$2:$K$142,9,0)</f>
        <v>Trung bình</v>
      </c>
      <c r="D556">
        <f t="shared" si="16"/>
        <v>111</v>
      </c>
      <c r="F556" t="str">
        <f>IF(L556=2,COUNTIFS($L$1:L556,2,$B$1:B556,"Chương 5"),"")</f>
        <v/>
      </c>
      <c r="G556" t="str">
        <f>VLOOKUP(D556,Ngan_hang_cau_hoi!$B$2:$K$142,L556,0)</f>
        <v>PSU chưa cấp điện</v>
      </c>
      <c r="H556" t="str">
        <f>IFERROR(VLOOKUP(J556,Ngan_hang_cau_hoi!$I$2:$L$142,4,0),"")</f>
        <v/>
      </c>
      <c r="J556" t="str">
        <f>IF(VLOOKUP(D556,Ngan_hang_cau_hoi!$B$2:$K$142,8,0)=G556,G556,"")</f>
        <v/>
      </c>
      <c r="L556">
        <f t="shared" si="17"/>
        <v>6</v>
      </c>
    </row>
    <row r="557" spans="1:12" x14ac:dyDescent="0.25">
      <c r="A557">
        <v>555</v>
      </c>
      <c r="B557" t="str">
        <f>VLOOKUP(D557,Ngan_hang_cau_hoi!$B$2:$K$142,10,0)</f>
        <v>Chương 5</v>
      </c>
      <c r="C557" t="str">
        <f>VLOOKUP(D557,Ngan_hang_cau_hoi!$B$2:$K$142,9,0)</f>
        <v>Trung bình</v>
      </c>
      <c r="D557">
        <f t="shared" si="16"/>
        <v>112</v>
      </c>
      <c r="F557">
        <f>IF(L557=2,COUNTIFS($L$1:L557,2,$B$1:B557,"Chương 5"),"")</f>
        <v>36</v>
      </c>
      <c r="G557" t="str">
        <f>VLOOKUP(D557,Ngan_hang_cau_hoi!$B$2:$K$142,L557,0)</f>
        <v>Máy tính bật nguồn nhưng tự khởi động lại liên tục, nguyên nhân phần cứng có thể là:</v>
      </c>
      <c r="H557" t="str">
        <f>IFERROR(VLOOKUP(J557,Ngan_hang_cau_hoi!$I$2:$L$142,4,0),"")</f>
        <v/>
      </c>
      <c r="J557" t="str">
        <f>IF(VLOOKUP(D557,Ngan_hang_cau_hoi!$B$2:$K$142,8,0)=G557,G557,"")</f>
        <v/>
      </c>
      <c r="L557">
        <f t="shared" si="17"/>
        <v>2</v>
      </c>
    </row>
    <row r="558" spans="1:12" x14ac:dyDescent="0.25">
      <c r="A558">
        <v>556</v>
      </c>
      <c r="B558" t="str">
        <f>VLOOKUP(D558,Ngan_hang_cau_hoi!$B$2:$K$142,10,0)</f>
        <v>Chương 5</v>
      </c>
      <c r="C558" t="str">
        <f>VLOOKUP(D558,Ngan_hang_cau_hoi!$B$2:$K$142,9,0)</f>
        <v>Trung bình</v>
      </c>
      <c r="D558">
        <f t="shared" si="16"/>
        <v>112</v>
      </c>
      <c r="F558" t="str">
        <f>IF(L558=2,COUNTIFS($L$1:L558,2,$B$1:B558,"Chương 5"),"")</f>
        <v/>
      </c>
      <c r="G558" t="str">
        <f>VLOOKUP(D558,Ngan_hang_cau_hoi!$B$2:$K$142,L558,0)</f>
        <v>Lỗi ổ cứng hoặc đầy dữ liệu</v>
      </c>
      <c r="H558" t="str">
        <f>IFERROR(VLOOKUP(J558,Ngan_hang_cau_hoi!$I$2:$L$142,4,0),"")</f>
        <v/>
      </c>
      <c r="J558" t="str">
        <f>IF(VLOOKUP(D558,Ngan_hang_cau_hoi!$B$2:$K$142,8,0)=G558,G558,"")</f>
        <v/>
      </c>
      <c r="L558">
        <f t="shared" si="17"/>
        <v>3</v>
      </c>
    </row>
    <row r="559" spans="1:12" x14ac:dyDescent="0.25">
      <c r="A559">
        <v>557</v>
      </c>
      <c r="B559" t="str">
        <f>VLOOKUP(D559,Ngan_hang_cau_hoi!$B$2:$K$142,10,0)</f>
        <v>Chương 5</v>
      </c>
      <c r="C559" t="str">
        <f>VLOOKUP(D559,Ngan_hang_cau_hoi!$B$2:$K$142,9,0)</f>
        <v>Trung bình</v>
      </c>
      <c r="D559">
        <f t="shared" si="16"/>
        <v>112</v>
      </c>
      <c r="F559" t="str">
        <f>IF(L559=2,COUNTIFS($L$1:L559,2,$B$1:B559,"Chương 5"),"")</f>
        <v/>
      </c>
      <c r="G559" t="str">
        <f>VLOOKUP(D559,Ngan_hang_cau_hoi!$B$2:$K$142,L559,0)</f>
        <v>RAM yếu</v>
      </c>
      <c r="H559" t="str">
        <f>IFERROR(VLOOKUP(J559,Ngan_hang_cau_hoi!$I$2:$L$142,4,0),"")</f>
        <v/>
      </c>
      <c r="J559" t="str">
        <f>IF(VLOOKUP(D559,Ngan_hang_cau_hoi!$B$2:$K$142,8,0)=G559,G559,"")</f>
        <v/>
      </c>
      <c r="L559">
        <f t="shared" si="17"/>
        <v>4</v>
      </c>
    </row>
    <row r="560" spans="1:12" x14ac:dyDescent="0.25">
      <c r="A560">
        <v>558</v>
      </c>
      <c r="B560" t="str">
        <f>VLOOKUP(D560,Ngan_hang_cau_hoi!$B$2:$K$142,10,0)</f>
        <v>Chương 5</v>
      </c>
      <c r="C560" t="str">
        <f>VLOOKUP(D560,Ngan_hang_cau_hoi!$B$2:$K$142,9,0)</f>
        <v>Trung bình</v>
      </c>
      <c r="D560">
        <f t="shared" si="16"/>
        <v>112</v>
      </c>
      <c r="F560" t="str">
        <f>IF(L560=2,COUNTIFS($L$1:L560,2,$B$1:B560,"Chương 5"),"")</f>
        <v/>
      </c>
      <c r="G560" t="str">
        <f>VLOOKUP(D560,Ngan_hang_cau_hoi!$B$2:$K$142,L560,0)</f>
        <v>Lỗi VGA</v>
      </c>
      <c r="H560" t="str">
        <f>IFERROR(VLOOKUP(J560,Ngan_hang_cau_hoi!$I$2:$L$142,4,0),"")</f>
        <v/>
      </c>
      <c r="J560" t="str">
        <f>IF(VLOOKUP(D560,Ngan_hang_cau_hoi!$B$2:$K$142,8,0)=G560,G560,"")</f>
        <v/>
      </c>
      <c r="L560">
        <f t="shared" si="17"/>
        <v>5</v>
      </c>
    </row>
    <row r="561" spans="1:12" x14ac:dyDescent="0.25">
      <c r="A561">
        <v>559</v>
      </c>
      <c r="B561" t="str">
        <f>VLOOKUP(D561,Ngan_hang_cau_hoi!$B$2:$K$142,10,0)</f>
        <v>Chương 5</v>
      </c>
      <c r="C561" t="str">
        <f>VLOOKUP(D561,Ngan_hang_cau_hoi!$B$2:$K$142,9,0)</f>
        <v>Trung bình</v>
      </c>
      <c r="D561">
        <f t="shared" si="16"/>
        <v>112</v>
      </c>
      <c r="F561" t="str">
        <f>IF(L561=2,COUNTIFS($L$1:L561,2,$B$1:B561,"Chương 5"),"")</f>
        <v/>
      </c>
      <c r="G561" t="str">
        <f>VLOOKUP(D561,Ngan_hang_cau_hoi!$B$2:$K$142,L561,0)</f>
        <v>Nguồn yếu hoặc không ổn định</v>
      </c>
      <c r="H561" t="str">
        <f>IFERROR(VLOOKUP(J561,Ngan_hang_cau_hoi!$I$2:$L$142,4,0),"")</f>
        <v>D</v>
      </c>
      <c r="J561" t="str">
        <f>IF(VLOOKUP(D561,Ngan_hang_cau_hoi!$B$2:$K$142,8,0)=G561,G561,"")</f>
        <v>Nguồn yếu hoặc không ổn định</v>
      </c>
      <c r="L561">
        <f t="shared" si="17"/>
        <v>6</v>
      </c>
    </row>
    <row r="562" spans="1:12" x14ac:dyDescent="0.25">
      <c r="A562">
        <v>560</v>
      </c>
      <c r="B562" t="str">
        <f>VLOOKUP(D562,Ngan_hang_cau_hoi!$B$2:$K$142,10,0)</f>
        <v>Chương 5</v>
      </c>
      <c r="C562" t="str">
        <f>VLOOKUP(D562,Ngan_hang_cau_hoi!$B$2:$K$142,9,0)</f>
        <v>Trung bình</v>
      </c>
      <c r="D562">
        <f t="shared" si="16"/>
        <v>113</v>
      </c>
      <c r="F562">
        <f>IF(L562=2,COUNTIFS($L$1:L562,2,$B$1:B562,"Chương 5"),"")</f>
        <v>37</v>
      </c>
      <c r="G562" t="str">
        <f>VLOOKUP(D562,Ngan_hang_cau_hoi!$B$2:$K$142,L562,0)</f>
        <v>Máy tính bật nguồn nhưng không nghe tiếng bíp POST, nguyên nhân có thể là:</v>
      </c>
      <c r="H562" t="str">
        <f>IFERROR(VLOOKUP(J562,Ngan_hang_cau_hoi!$I$2:$L$142,4,0),"")</f>
        <v/>
      </c>
      <c r="J562" t="str">
        <f>IF(VLOOKUP(D562,Ngan_hang_cau_hoi!$B$2:$K$142,8,0)=G562,G562,"")</f>
        <v/>
      </c>
      <c r="L562">
        <f t="shared" si="17"/>
        <v>2</v>
      </c>
    </row>
    <row r="563" spans="1:12" x14ac:dyDescent="0.25">
      <c r="A563">
        <v>561</v>
      </c>
      <c r="B563" t="str">
        <f>VLOOKUP(D563,Ngan_hang_cau_hoi!$B$2:$K$142,10,0)</f>
        <v>Chương 5</v>
      </c>
      <c r="C563" t="str">
        <f>VLOOKUP(D563,Ngan_hang_cau_hoi!$B$2:$K$142,9,0)</f>
        <v>Trung bình</v>
      </c>
      <c r="D563">
        <f t="shared" si="16"/>
        <v>113</v>
      </c>
      <c r="F563" t="str">
        <f>IF(L563=2,COUNTIFS($L$1:L563,2,$B$1:B563,"Chương 5"),"")</f>
        <v/>
      </c>
      <c r="G563" t="str">
        <f>VLOOKUP(D563,Ngan_hang_cau_hoi!$B$2:$K$142,L563,0)</f>
        <v>Không có Loa mainboard</v>
      </c>
      <c r="H563" t="str">
        <f>IFERROR(VLOOKUP(J563,Ngan_hang_cau_hoi!$I$2:$L$142,4,0),"")</f>
        <v>A</v>
      </c>
      <c r="J563" t="str">
        <f>IF(VLOOKUP(D563,Ngan_hang_cau_hoi!$B$2:$K$142,8,0)=G563,G563,"")</f>
        <v>Không có Loa mainboard</v>
      </c>
      <c r="L563">
        <f t="shared" si="17"/>
        <v>3</v>
      </c>
    </row>
    <row r="564" spans="1:12" x14ac:dyDescent="0.25">
      <c r="A564">
        <v>562</v>
      </c>
      <c r="B564" t="str">
        <f>VLOOKUP(D564,Ngan_hang_cau_hoi!$B$2:$K$142,10,0)</f>
        <v>Chương 5</v>
      </c>
      <c r="C564" t="str">
        <f>VLOOKUP(D564,Ngan_hang_cau_hoi!$B$2:$K$142,9,0)</f>
        <v>Trung bình</v>
      </c>
      <c r="D564">
        <f t="shared" si="16"/>
        <v>113</v>
      </c>
      <c r="F564" t="str">
        <f>IF(L564=2,COUNTIFS($L$1:L564,2,$B$1:B564,"Chương 5"),"")</f>
        <v/>
      </c>
      <c r="G564" t="str">
        <f>VLOOKUP(D564,Ngan_hang_cau_hoi!$B$2:$K$142,L564,0)</f>
        <v>RAM hỏng</v>
      </c>
      <c r="H564" t="str">
        <f>IFERROR(VLOOKUP(J564,Ngan_hang_cau_hoi!$I$2:$L$142,4,0),"")</f>
        <v/>
      </c>
      <c r="J564" t="str">
        <f>IF(VLOOKUP(D564,Ngan_hang_cau_hoi!$B$2:$K$142,8,0)=G564,G564,"")</f>
        <v/>
      </c>
      <c r="L564">
        <f t="shared" si="17"/>
        <v>4</v>
      </c>
    </row>
    <row r="565" spans="1:12" x14ac:dyDescent="0.25">
      <c r="A565">
        <v>563</v>
      </c>
      <c r="B565" t="str">
        <f>VLOOKUP(D565,Ngan_hang_cau_hoi!$B$2:$K$142,10,0)</f>
        <v>Chương 5</v>
      </c>
      <c r="C565" t="str">
        <f>VLOOKUP(D565,Ngan_hang_cau_hoi!$B$2:$K$142,9,0)</f>
        <v>Trung bình</v>
      </c>
      <c r="D565">
        <f t="shared" si="16"/>
        <v>113</v>
      </c>
      <c r="F565" t="str">
        <f>IF(L565=2,COUNTIFS($L$1:L565,2,$B$1:B565,"Chương 5"),"")</f>
        <v/>
      </c>
      <c r="G565" t="str">
        <f>VLOOKUP(D565,Ngan_hang_cau_hoi!$B$2:$K$142,L565,0)</f>
        <v>Không có ổ cứng</v>
      </c>
      <c r="H565" t="str">
        <f>IFERROR(VLOOKUP(J565,Ngan_hang_cau_hoi!$I$2:$L$142,4,0),"")</f>
        <v/>
      </c>
      <c r="J565" t="str">
        <f>IF(VLOOKUP(D565,Ngan_hang_cau_hoi!$B$2:$K$142,8,0)=G565,G565,"")</f>
        <v/>
      </c>
      <c r="L565">
        <f t="shared" si="17"/>
        <v>5</v>
      </c>
    </row>
    <row r="566" spans="1:12" x14ac:dyDescent="0.25">
      <c r="A566">
        <v>564</v>
      </c>
      <c r="B566" t="str">
        <f>VLOOKUP(D566,Ngan_hang_cau_hoi!$B$2:$K$142,10,0)</f>
        <v>Chương 5</v>
      </c>
      <c r="C566" t="str">
        <f>VLOOKUP(D566,Ngan_hang_cau_hoi!$B$2:$K$142,9,0)</f>
        <v>Trung bình</v>
      </c>
      <c r="D566">
        <f t="shared" si="16"/>
        <v>113</v>
      </c>
      <c r="F566" t="str">
        <f>IF(L566=2,COUNTIFS($L$1:L566,2,$B$1:B566,"Chương 5"),"")</f>
        <v/>
      </c>
      <c r="G566" t="str">
        <f>VLOOKUP(D566,Ngan_hang_cau_hoi!$B$2:$K$142,L566,0)</f>
        <v>Không có VGA</v>
      </c>
      <c r="H566" t="str">
        <f>IFERROR(VLOOKUP(J566,Ngan_hang_cau_hoi!$I$2:$L$142,4,0),"")</f>
        <v/>
      </c>
      <c r="J566" t="str">
        <f>IF(VLOOKUP(D566,Ngan_hang_cau_hoi!$B$2:$K$142,8,0)=G566,G566,"")</f>
        <v/>
      </c>
      <c r="L566">
        <f t="shared" si="17"/>
        <v>6</v>
      </c>
    </row>
    <row r="567" spans="1:12" x14ac:dyDescent="0.25">
      <c r="A567">
        <v>565</v>
      </c>
      <c r="B567" t="str">
        <f>VLOOKUP(D567,Ngan_hang_cau_hoi!$B$2:$K$142,10,0)</f>
        <v>Chương 5</v>
      </c>
      <c r="C567" t="str">
        <f>VLOOKUP(D567,Ngan_hang_cau_hoi!$B$2:$K$142,9,0)</f>
        <v>Trung bình</v>
      </c>
      <c r="D567">
        <f t="shared" si="16"/>
        <v>114</v>
      </c>
      <c r="F567">
        <f>IF(L567=2,COUNTIFS($L$1:L567,2,$B$1:B567,"Chương 5"),"")</f>
        <v>38</v>
      </c>
      <c r="G567" t="str">
        <f>VLOOKUP(D567,Ngan_hang_cau_hoi!$B$2:$K$142,L567,0)</f>
        <v>Máy tính bật lên tự tắt sau 5 giây. Nguyên nhân có thể:</v>
      </c>
      <c r="H567" t="str">
        <f>IFERROR(VLOOKUP(J567,Ngan_hang_cau_hoi!$I$2:$L$142,4,0),"")</f>
        <v/>
      </c>
      <c r="J567" t="str">
        <f>IF(VLOOKUP(D567,Ngan_hang_cau_hoi!$B$2:$K$142,8,0)=G567,G567,"")</f>
        <v/>
      </c>
      <c r="L567">
        <f t="shared" si="17"/>
        <v>2</v>
      </c>
    </row>
    <row r="568" spans="1:12" x14ac:dyDescent="0.25">
      <c r="A568">
        <v>566</v>
      </c>
      <c r="B568" t="str">
        <f>VLOOKUP(D568,Ngan_hang_cau_hoi!$B$2:$K$142,10,0)</f>
        <v>Chương 5</v>
      </c>
      <c r="C568" t="str">
        <f>VLOOKUP(D568,Ngan_hang_cau_hoi!$B$2:$K$142,9,0)</f>
        <v>Trung bình</v>
      </c>
      <c r="D568">
        <f t="shared" si="16"/>
        <v>114</v>
      </c>
      <c r="F568" t="str">
        <f>IF(L568=2,COUNTIFS($L$1:L568,2,$B$1:B568,"Chương 5"),"")</f>
        <v/>
      </c>
      <c r="G568" t="str">
        <f>VLOOKUP(D568,Ngan_hang_cau_hoi!$B$2:$K$142,L568,0)</f>
        <v>CPU quá nhiệt</v>
      </c>
      <c r="H568" t="str">
        <f>IFERROR(VLOOKUP(J568,Ngan_hang_cau_hoi!$I$2:$L$142,4,0),"")</f>
        <v>B</v>
      </c>
      <c r="J568" t="str">
        <f>IF(VLOOKUP(D568,Ngan_hang_cau_hoi!$B$2:$K$142,8,0)=G568,G568,"")</f>
        <v>CPU quá nhiệt</v>
      </c>
      <c r="L568">
        <f t="shared" si="17"/>
        <v>3</v>
      </c>
    </row>
    <row r="569" spans="1:12" x14ac:dyDescent="0.25">
      <c r="A569">
        <v>567</v>
      </c>
      <c r="B569" t="str">
        <f>VLOOKUP(D569,Ngan_hang_cau_hoi!$B$2:$K$142,10,0)</f>
        <v>Chương 5</v>
      </c>
      <c r="C569" t="str">
        <f>VLOOKUP(D569,Ngan_hang_cau_hoi!$B$2:$K$142,9,0)</f>
        <v>Trung bình</v>
      </c>
      <c r="D569">
        <f t="shared" si="16"/>
        <v>114</v>
      </c>
      <c r="F569" t="str">
        <f>IF(L569=2,COUNTIFS($L$1:L569,2,$B$1:B569,"Chương 5"),"")</f>
        <v/>
      </c>
      <c r="G569" t="str">
        <f>VLOOKUP(D569,Ngan_hang_cau_hoi!$B$2:$K$142,L569,0)</f>
        <v>SSD lỗi</v>
      </c>
      <c r="H569" t="str">
        <f>IFERROR(VLOOKUP(J569,Ngan_hang_cau_hoi!$I$2:$L$142,4,0),"")</f>
        <v/>
      </c>
      <c r="J569" t="str">
        <f>IF(VLOOKUP(D569,Ngan_hang_cau_hoi!$B$2:$K$142,8,0)=G569,G569,"")</f>
        <v/>
      </c>
      <c r="L569">
        <f t="shared" si="17"/>
        <v>4</v>
      </c>
    </row>
    <row r="570" spans="1:12" x14ac:dyDescent="0.25">
      <c r="A570">
        <v>568</v>
      </c>
      <c r="B570" t="str">
        <f>VLOOKUP(D570,Ngan_hang_cau_hoi!$B$2:$K$142,10,0)</f>
        <v>Chương 5</v>
      </c>
      <c r="C570" t="str">
        <f>VLOOKUP(D570,Ngan_hang_cau_hoi!$B$2:$K$142,9,0)</f>
        <v>Trung bình</v>
      </c>
      <c r="D570">
        <f t="shared" si="16"/>
        <v>114</v>
      </c>
      <c r="F570" t="str">
        <f>IF(L570=2,COUNTIFS($L$1:L570,2,$B$1:B570,"Chương 5"),"")</f>
        <v/>
      </c>
      <c r="G570" t="str">
        <f>VLOOKUP(D570,Ngan_hang_cau_hoi!$B$2:$K$142,L570,0)</f>
        <v>RAM lớn</v>
      </c>
      <c r="H570" t="str">
        <f>IFERROR(VLOOKUP(J570,Ngan_hang_cau_hoi!$I$2:$L$142,4,0),"")</f>
        <v/>
      </c>
      <c r="J570" t="str">
        <f>IF(VLOOKUP(D570,Ngan_hang_cau_hoi!$B$2:$K$142,8,0)=G570,G570,"")</f>
        <v/>
      </c>
      <c r="L570">
        <f t="shared" si="17"/>
        <v>5</v>
      </c>
    </row>
    <row r="571" spans="1:12" x14ac:dyDescent="0.25">
      <c r="A571">
        <v>569</v>
      </c>
      <c r="B571" t="str">
        <f>VLOOKUP(D571,Ngan_hang_cau_hoi!$B$2:$K$142,10,0)</f>
        <v>Chương 5</v>
      </c>
      <c r="C571" t="str">
        <f>VLOOKUP(D571,Ngan_hang_cau_hoi!$B$2:$K$142,9,0)</f>
        <v>Trung bình</v>
      </c>
      <c r="D571">
        <f t="shared" si="16"/>
        <v>114</v>
      </c>
      <c r="F571" t="str">
        <f>IF(L571=2,COUNTIFS($L$1:L571,2,$B$1:B571,"Chương 5"),"")</f>
        <v/>
      </c>
      <c r="G571" t="str">
        <f>VLOOKUP(D571,Ngan_hang_cau_hoi!$B$2:$K$142,L571,0)</f>
        <v>GPU yếu</v>
      </c>
      <c r="H571" t="str">
        <f>IFERROR(VLOOKUP(J571,Ngan_hang_cau_hoi!$I$2:$L$142,4,0),"")</f>
        <v/>
      </c>
      <c r="J571" t="str">
        <f>IF(VLOOKUP(D571,Ngan_hang_cau_hoi!$B$2:$K$142,8,0)=G571,G571,"")</f>
        <v/>
      </c>
      <c r="L571">
        <f t="shared" si="17"/>
        <v>6</v>
      </c>
    </row>
    <row r="572" spans="1:12" x14ac:dyDescent="0.25">
      <c r="A572">
        <v>570</v>
      </c>
      <c r="B572" t="str">
        <f>VLOOKUP(D572,Ngan_hang_cau_hoi!$B$2:$K$142,10,0)</f>
        <v>Chương 5</v>
      </c>
      <c r="C572" t="str">
        <f>VLOOKUP(D572,Ngan_hang_cau_hoi!$B$2:$K$142,9,0)</f>
        <v>Trung bình</v>
      </c>
      <c r="D572">
        <f t="shared" si="16"/>
        <v>115</v>
      </c>
      <c r="F572">
        <f>IF(L572=2,COUNTIFS($L$1:L572,2,$B$1:B572,"Chương 5"),"")</f>
        <v>39</v>
      </c>
      <c r="G572" t="str">
        <f>VLOOKUP(D572,Ngan_hang_cau_hoi!$B$2:$K$142,L572,0)</f>
        <v>Máy phát 1 tiếng bíp dài + 2 tiếng bíp ngắn, thường báo lỗi:</v>
      </c>
      <c r="H572" t="str">
        <f>IFERROR(VLOOKUP(J572,Ngan_hang_cau_hoi!$I$2:$L$142,4,0),"")</f>
        <v/>
      </c>
      <c r="J572" t="str">
        <f>IF(VLOOKUP(D572,Ngan_hang_cau_hoi!$B$2:$K$142,8,0)=G572,G572,"")</f>
        <v/>
      </c>
      <c r="L572">
        <f t="shared" si="17"/>
        <v>2</v>
      </c>
    </row>
    <row r="573" spans="1:12" x14ac:dyDescent="0.25">
      <c r="A573">
        <v>571</v>
      </c>
      <c r="B573" t="str">
        <f>VLOOKUP(D573,Ngan_hang_cau_hoi!$B$2:$K$142,10,0)</f>
        <v>Chương 5</v>
      </c>
      <c r="C573" t="str">
        <f>VLOOKUP(D573,Ngan_hang_cau_hoi!$B$2:$K$142,9,0)</f>
        <v>Trung bình</v>
      </c>
      <c r="D573">
        <f t="shared" si="16"/>
        <v>115</v>
      </c>
      <c r="F573" t="str">
        <f>IF(L573=2,COUNTIFS($L$1:L573,2,$B$1:B573,"Chương 5"),"")</f>
        <v/>
      </c>
      <c r="G573" t="str">
        <f>VLOOKUP(D573,Ngan_hang_cau_hoi!$B$2:$K$142,L573,0)</f>
        <v>Lỗi ổ cứng</v>
      </c>
      <c r="H573" t="str">
        <f>IFERROR(VLOOKUP(J573,Ngan_hang_cau_hoi!$I$2:$L$142,4,0),"")</f>
        <v/>
      </c>
      <c r="J573" t="str">
        <f>IF(VLOOKUP(D573,Ngan_hang_cau_hoi!$B$2:$K$142,8,0)=G573,G573,"")</f>
        <v/>
      </c>
      <c r="L573">
        <f t="shared" si="17"/>
        <v>3</v>
      </c>
    </row>
    <row r="574" spans="1:12" x14ac:dyDescent="0.25">
      <c r="A574">
        <v>572</v>
      </c>
      <c r="B574" t="str">
        <f>VLOOKUP(D574,Ngan_hang_cau_hoi!$B$2:$K$142,10,0)</f>
        <v>Chương 5</v>
      </c>
      <c r="C574" t="str">
        <f>VLOOKUP(D574,Ngan_hang_cau_hoi!$B$2:$K$142,9,0)</f>
        <v>Trung bình</v>
      </c>
      <c r="D574">
        <f t="shared" si="16"/>
        <v>115</v>
      </c>
      <c r="F574" t="str">
        <f>IF(L574=2,COUNTIFS($L$1:L574,2,$B$1:B574,"Chương 5"),"")</f>
        <v/>
      </c>
      <c r="G574" t="str">
        <f>VLOOKUP(D574,Ngan_hang_cau_hoi!$B$2:$K$142,L574,0)</f>
        <v>Lỗi RAM</v>
      </c>
      <c r="H574" t="str">
        <f>IFERROR(VLOOKUP(J574,Ngan_hang_cau_hoi!$I$2:$L$142,4,0),"")</f>
        <v/>
      </c>
      <c r="J574" t="str">
        <f>IF(VLOOKUP(D574,Ngan_hang_cau_hoi!$B$2:$K$142,8,0)=G574,G574,"")</f>
        <v/>
      </c>
      <c r="L574">
        <f t="shared" si="17"/>
        <v>4</v>
      </c>
    </row>
    <row r="575" spans="1:12" x14ac:dyDescent="0.25">
      <c r="A575">
        <v>573</v>
      </c>
      <c r="B575" t="str">
        <f>VLOOKUP(D575,Ngan_hang_cau_hoi!$B$2:$K$142,10,0)</f>
        <v>Chương 5</v>
      </c>
      <c r="C575" t="str">
        <f>VLOOKUP(D575,Ngan_hang_cau_hoi!$B$2:$K$142,9,0)</f>
        <v>Trung bình</v>
      </c>
      <c r="D575">
        <f t="shared" si="16"/>
        <v>115</v>
      </c>
      <c r="F575" t="str">
        <f>IF(L575=2,COUNTIFS($L$1:L575,2,$B$1:B575,"Chương 5"),"")</f>
        <v/>
      </c>
      <c r="G575" t="str">
        <f>VLOOKUP(D575,Ngan_hang_cau_hoi!$B$2:$K$142,L575,0)</f>
        <v>Lỗi VGA</v>
      </c>
      <c r="H575" t="str">
        <f>IFERROR(VLOOKUP(J575,Ngan_hang_cau_hoi!$I$2:$L$142,4,0),"")</f>
        <v>C</v>
      </c>
      <c r="J575" t="str">
        <f>IF(VLOOKUP(D575,Ngan_hang_cau_hoi!$B$2:$K$142,8,0)=G575,G575,"")</f>
        <v>Lỗi VGA</v>
      </c>
      <c r="L575">
        <f t="shared" si="17"/>
        <v>5</v>
      </c>
    </row>
    <row r="576" spans="1:12" x14ac:dyDescent="0.25">
      <c r="A576">
        <v>574</v>
      </c>
      <c r="B576" t="str">
        <f>VLOOKUP(D576,Ngan_hang_cau_hoi!$B$2:$K$142,10,0)</f>
        <v>Chương 5</v>
      </c>
      <c r="C576" t="str">
        <f>VLOOKUP(D576,Ngan_hang_cau_hoi!$B$2:$K$142,9,0)</f>
        <v>Trung bình</v>
      </c>
      <c r="D576">
        <f t="shared" si="16"/>
        <v>115</v>
      </c>
      <c r="F576" t="str">
        <f>IF(L576=2,COUNTIFS($L$1:L576,2,$B$1:B576,"Chương 5"),"")</f>
        <v/>
      </c>
      <c r="G576" t="str">
        <f>VLOOKUP(D576,Ngan_hang_cau_hoi!$B$2:$K$142,L576,0)</f>
        <v>Lỗi nguồn</v>
      </c>
      <c r="H576" t="str">
        <f>IFERROR(VLOOKUP(J576,Ngan_hang_cau_hoi!$I$2:$L$142,4,0),"")</f>
        <v/>
      </c>
      <c r="J576" t="str">
        <f>IF(VLOOKUP(D576,Ngan_hang_cau_hoi!$B$2:$K$142,8,0)=G576,G576,"")</f>
        <v/>
      </c>
      <c r="L576">
        <f t="shared" si="17"/>
        <v>6</v>
      </c>
    </row>
    <row r="577" spans="1:12" x14ac:dyDescent="0.25">
      <c r="A577">
        <v>575</v>
      </c>
      <c r="B577" t="str">
        <f>VLOOKUP(D577,Ngan_hang_cau_hoi!$B$2:$K$142,10,0)</f>
        <v>Chương 5</v>
      </c>
      <c r="C577" t="str">
        <f>VLOOKUP(D577,Ngan_hang_cau_hoi!$B$2:$K$142,9,0)</f>
        <v>Trung bình</v>
      </c>
      <c r="D577">
        <f t="shared" si="16"/>
        <v>116</v>
      </c>
      <c r="F577">
        <f>IF(L577=2,COUNTIFS($L$1:L577,2,$B$1:B577,"Chương 5"),"")</f>
        <v>40</v>
      </c>
      <c r="G577" t="str">
        <f>VLOOKUP(D577,Ngan_hang_cau_hoi!$B$2:$K$142,L577,0)</f>
        <v>Máy chạy rất chậm dù CPU mạnh, nguyên nhân có thể:</v>
      </c>
      <c r="H577" t="str">
        <f>IFERROR(VLOOKUP(J577,Ngan_hang_cau_hoi!$I$2:$L$142,4,0),"")</f>
        <v/>
      </c>
      <c r="J577" t="str">
        <f>IF(VLOOKUP(D577,Ngan_hang_cau_hoi!$B$2:$K$142,8,0)=G577,G577,"")</f>
        <v/>
      </c>
      <c r="L577">
        <f t="shared" si="17"/>
        <v>2</v>
      </c>
    </row>
    <row r="578" spans="1:12" x14ac:dyDescent="0.25">
      <c r="A578">
        <v>576</v>
      </c>
      <c r="B578" t="str">
        <f>VLOOKUP(D578,Ngan_hang_cau_hoi!$B$2:$K$142,10,0)</f>
        <v>Chương 5</v>
      </c>
      <c r="C578" t="str">
        <f>VLOOKUP(D578,Ngan_hang_cau_hoi!$B$2:$K$142,9,0)</f>
        <v>Trung bình</v>
      </c>
      <c r="D578">
        <f t="shared" si="16"/>
        <v>116</v>
      </c>
      <c r="F578" t="str">
        <f>IF(L578=2,COUNTIFS($L$1:L578,2,$B$1:B578,"Chương 5"),"")</f>
        <v/>
      </c>
      <c r="G578" t="str">
        <f>VLOOKUP(D578,Ngan_hang_cau_hoi!$B$2:$K$142,L578,0)</f>
        <v>Đang dùng HDD</v>
      </c>
      <c r="H578" t="str">
        <f>IFERROR(VLOOKUP(J578,Ngan_hang_cau_hoi!$I$2:$L$142,4,0),"")</f>
        <v>A</v>
      </c>
      <c r="J578" t="str">
        <f>IF(VLOOKUP(D578,Ngan_hang_cau_hoi!$B$2:$K$142,8,0)=G578,G578,"")</f>
        <v>Đang dùng HDD</v>
      </c>
      <c r="L578">
        <f t="shared" si="17"/>
        <v>3</v>
      </c>
    </row>
    <row r="579" spans="1:12" x14ac:dyDescent="0.25">
      <c r="A579">
        <v>577</v>
      </c>
      <c r="B579" t="str">
        <f>VLOOKUP(D579,Ngan_hang_cau_hoi!$B$2:$K$142,10,0)</f>
        <v>Chương 5</v>
      </c>
      <c r="C579" t="str">
        <f>VLOOKUP(D579,Ngan_hang_cau_hoi!$B$2:$K$142,9,0)</f>
        <v>Trung bình</v>
      </c>
      <c r="D579">
        <f t="shared" ref="D579:D601" si="18">INT(A579/5)+1</f>
        <v>116</v>
      </c>
      <c r="F579" t="str">
        <f>IF(L579=2,COUNTIFS($L$1:L579,2,$B$1:B579,"Chương 5"),"")</f>
        <v/>
      </c>
      <c r="G579" t="str">
        <f>VLOOKUP(D579,Ngan_hang_cau_hoi!$B$2:$K$142,L579,0)</f>
        <v>GPU yếu</v>
      </c>
      <c r="H579" t="str">
        <f>IFERROR(VLOOKUP(J579,Ngan_hang_cau_hoi!$I$2:$L$142,4,0),"")</f>
        <v/>
      </c>
      <c r="J579" t="str">
        <f>IF(VLOOKUP(D579,Ngan_hang_cau_hoi!$B$2:$K$142,8,0)=G579,G579,"")</f>
        <v/>
      </c>
      <c r="L579">
        <f t="shared" ref="L579:L601" si="19">IF(L578=6,2,L578+1)</f>
        <v>4</v>
      </c>
    </row>
    <row r="580" spans="1:12" x14ac:dyDescent="0.25">
      <c r="A580">
        <v>578</v>
      </c>
      <c r="B580" t="str">
        <f>VLOOKUP(D580,Ngan_hang_cau_hoi!$B$2:$K$142,10,0)</f>
        <v>Chương 5</v>
      </c>
      <c r="C580" t="str">
        <f>VLOOKUP(D580,Ngan_hang_cau_hoi!$B$2:$K$142,9,0)</f>
        <v>Trung bình</v>
      </c>
      <c r="D580">
        <f t="shared" si="18"/>
        <v>116</v>
      </c>
      <c r="F580" t="str">
        <f>IF(L580=2,COUNTIFS($L$1:L580,2,$B$1:B580,"Chương 5"),"")</f>
        <v/>
      </c>
      <c r="G580" t="str">
        <f>VLOOKUP(D580,Ngan_hang_cau_hoi!$B$2:$K$142,L580,0)</f>
        <v>RAM lỗi</v>
      </c>
      <c r="H580" t="str">
        <f>IFERROR(VLOOKUP(J580,Ngan_hang_cau_hoi!$I$2:$L$142,4,0),"")</f>
        <v/>
      </c>
      <c r="J580" t="str">
        <f>IF(VLOOKUP(D580,Ngan_hang_cau_hoi!$B$2:$K$142,8,0)=G580,G580,"")</f>
        <v/>
      </c>
      <c r="L580">
        <f t="shared" si="19"/>
        <v>5</v>
      </c>
    </row>
    <row r="581" spans="1:12" x14ac:dyDescent="0.25">
      <c r="A581">
        <v>579</v>
      </c>
      <c r="B581" t="str">
        <f>VLOOKUP(D581,Ngan_hang_cau_hoi!$B$2:$K$142,10,0)</f>
        <v>Chương 5</v>
      </c>
      <c r="C581" t="str">
        <f>VLOOKUP(D581,Ngan_hang_cau_hoi!$B$2:$K$142,9,0)</f>
        <v>Trung bình</v>
      </c>
      <c r="D581">
        <f t="shared" si="18"/>
        <v>116</v>
      </c>
      <c r="F581" t="str">
        <f>IF(L581=2,COUNTIFS($L$1:L581,2,$B$1:B581,"Chương 5"),"")</f>
        <v/>
      </c>
      <c r="G581" t="str">
        <f>VLOOKUP(D581,Ngan_hang_cau_hoi!$B$2:$K$142,L581,0)</f>
        <v>PSU mạnh</v>
      </c>
      <c r="H581" t="str">
        <f>IFERROR(VLOOKUP(J581,Ngan_hang_cau_hoi!$I$2:$L$142,4,0),"")</f>
        <v/>
      </c>
      <c r="J581" t="str">
        <f>IF(VLOOKUP(D581,Ngan_hang_cau_hoi!$B$2:$K$142,8,0)=G581,G581,"")</f>
        <v/>
      </c>
      <c r="L581">
        <f t="shared" si="19"/>
        <v>6</v>
      </c>
    </row>
    <row r="582" spans="1:12" x14ac:dyDescent="0.25">
      <c r="A582">
        <v>580</v>
      </c>
      <c r="B582" t="str">
        <f>VLOOKUP(D582,Ngan_hang_cau_hoi!$B$2:$K$142,10,0)</f>
        <v>Chương 5</v>
      </c>
      <c r="C582" t="str">
        <f>VLOOKUP(D582,Ngan_hang_cau_hoi!$B$2:$K$142,9,0)</f>
        <v>Trung bình</v>
      </c>
      <c r="D582">
        <f t="shared" si="18"/>
        <v>117</v>
      </c>
      <c r="F582">
        <f>IF(L582=2,COUNTIFS($L$1:L582,2,$B$1:B582,"Chương 5"),"")</f>
        <v>41</v>
      </c>
      <c r="G582" t="str">
        <f>VLOOKUP(D582,Ngan_hang_cau_hoi!$B$2:$K$142,L582,0)</f>
        <v>Máy chạy chậm dù CPU mạnh, nguyên nhân có thể:</v>
      </c>
      <c r="H582" t="str">
        <f>IFERROR(VLOOKUP(J582,Ngan_hang_cau_hoi!$I$2:$L$142,4,0),"")</f>
        <v/>
      </c>
      <c r="J582" t="str">
        <f>IF(VLOOKUP(D582,Ngan_hang_cau_hoi!$B$2:$K$142,8,0)=G582,G582,"")</f>
        <v/>
      </c>
      <c r="L582">
        <f t="shared" si="19"/>
        <v>2</v>
      </c>
    </row>
    <row r="583" spans="1:12" x14ac:dyDescent="0.25">
      <c r="A583">
        <v>581</v>
      </c>
      <c r="B583" t="str">
        <f>VLOOKUP(D583,Ngan_hang_cau_hoi!$B$2:$K$142,10,0)</f>
        <v>Chương 5</v>
      </c>
      <c r="C583" t="str">
        <f>VLOOKUP(D583,Ngan_hang_cau_hoi!$B$2:$K$142,9,0)</f>
        <v>Trung bình</v>
      </c>
      <c r="D583">
        <f t="shared" si="18"/>
        <v>117</v>
      </c>
      <c r="F583" t="str">
        <f>IF(L583=2,COUNTIFS($L$1:L583,2,$B$1:B583,"Chương 5"),"")</f>
        <v/>
      </c>
      <c r="G583" t="str">
        <f>VLOOKUP(D583,Ngan_hang_cau_hoi!$B$2:$K$142,L583,0)</f>
        <v>GPU mạnh</v>
      </c>
      <c r="H583" t="str">
        <f>IFERROR(VLOOKUP(J583,Ngan_hang_cau_hoi!$I$2:$L$142,4,0),"")</f>
        <v/>
      </c>
      <c r="J583" t="str">
        <f>IF(VLOOKUP(D583,Ngan_hang_cau_hoi!$B$2:$K$142,8,0)=G583,G583,"")</f>
        <v/>
      </c>
      <c r="L583">
        <f t="shared" si="19"/>
        <v>3</v>
      </c>
    </row>
    <row r="584" spans="1:12" x14ac:dyDescent="0.25">
      <c r="A584">
        <v>582</v>
      </c>
      <c r="B584" t="str">
        <f>VLOOKUP(D584,Ngan_hang_cau_hoi!$B$2:$K$142,10,0)</f>
        <v>Chương 5</v>
      </c>
      <c r="C584" t="str">
        <f>VLOOKUP(D584,Ngan_hang_cau_hoi!$B$2:$K$142,9,0)</f>
        <v>Trung bình</v>
      </c>
      <c r="D584">
        <f t="shared" si="18"/>
        <v>117</v>
      </c>
      <c r="F584" t="str">
        <f>IF(L584=2,COUNTIFS($L$1:L584,2,$B$1:B584,"Chương 5"),"")</f>
        <v/>
      </c>
      <c r="G584" t="str">
        <f>VLOOKUP(D584,Ngan_hang_cau_hoi!$B$2:$K$142,L584,0)</f>
        <v>RAM lớn</v>
      </c>
      <c r="H584" t="str">
        <f>IFERROR(VLOOKUP(J584,Ngan_hang_cau_hoi!$I$2:$L$142,4,0),"")</f>
        <v/>
      </c>
      <c r="J584" t="str">
        <f>IF(VLOOKUP(D584,Ngan_hang_cau_hoi!$B$2:$K$142,8,0)=G584,G584,"")</f>
        <v/>
      </c>
      <c r="L584">
        <f t="shared" si="19"/>
        <v>4</v>
      </c>
    </row>
    <row r="585" spans="1:12" x14ac:dyDescent="0.25">
      <c r="A585">
        <v>583</v>
      </c>
      <c r="B585" t="str">
        <f>VLOOKUP(D585,Ngan_hang_cau_hoi!$B$2:$K$142,10,0)</f>
        <v>Chương 5</v>
      </c>
      <c r="C585" t="str">
        <f>VLOOKUP(D585,Ngan_hang_cau_hoi!$B$2:$K$142,9,0)</f>
        <v>Trung bình</v>
      </c>
      <c r="D585">
        <f t="shared" si="18"/>
        <v>117</v>
      </c>
      <c r="F585" t="str">
        <f>IF(L585=2,COUNTIFS($L$1:L585,2,$B$1:B585,"Chương 5"),"")</f>
        <v/>
      </c>
      <c r="G585" t="str">
        <f>VLOOKUP(D585,Ngan_hang_cau_hoi!$B$2:$K$142,L585,0)</f>
        <v>PSU mạnh</v>
      </c>
      <c r="H585" t="str">
        <f>IFERROR(VLOOKUP(J585,Ngan_hang_cau_hoi!$I$2:$L$142,4,0),"")</f>
        <v/>
      </c>
      <c r="J585" t="str">
        <f>IF(VLOOKUP(D585,Ngan_hang_cau_hoi!$B$2:$K$142,8,0)=G585,G585,"")</f>
        <v/>
      </c>
      <c r="L585">
        <f t="shared" si="19"/>
        <v>5</v>
      </c>
    </row>
    <row r="586" spans="1:12" x14ac:dyDescent="0.25">
      <c r="A586">
        <v>584</v>
      </c>
      <c r="B586" t="str">
        <f>VLOOKUP(D586,Ngan_hang_cau_hoi!$B$2:$K$142,10,0)</f>
        <v>Chương 5</v>
      </c>
      <c r="C586" t="str">
        <f>VLOOKUP(D586,Ngan_hang_cau_hoi!$B$2:$K$142,9,0)</f>
        <v>Trung bình</v>
      </c>
      <c r="D586">
        <f t="shared" si="18"/>
        <v>117</v>
      </c>
      <c r="F586" t="str">
        <f>IF(L586=2,COUNTIFS($L$1:L586,2,$B$1:B586,"Chương 5"),"")</f>
        <v/>
      </c>
      <c r="G586" t="str">
        <f>VLOOKUP(D586,Ngan_hang_cau_hoi!$B$2:$K$142,L586,0)</f>
        <v>HDD thay vì SSD</v>
      </c>
      <c r="H586" t="str">
        <f>IFERROR(VLOOKUP(J586,Ngan_hang_cau_hoi!$I$2:$L$142,4,0),"")</f>
        <v>D</v>
      </c>
      <c r="J586" t="str">
        <f>IF(VLOOKUP(D586,Ngan_hang_cau_hoi!$B$2:$K$142,8,0)=G586,G586,"")</f>
        <v>HDD thay vì SSD</v>
      </c>
      <c r="L586">
        <f t="shared" si="19"/>
        <v>6</v>
      </c>
    </row>
    <row r="587" spans="1:12" x14ac:dyDescent="0.25">
      <c r="A587">
        <v>585</v>
      </c>
      <c r="B587" t="str">
        <f>VLOOKUP(D587,Ngan_hang_cau_hoi!$B$2:$K$142,10,0)</f>
        <v>Chương 5</v>
      </c>
      <c r="C587" t="str">
        <f>VLOOKUP(D587,Ngan_hang_cau_hoi!$B$2:$K$142,9,0)</f>
        <v>Trung bình</v>
      </c>
      <c r="D587">
        <f t="shared" si="18"/>
        <v>118</v>
      </c>
      <c r="F587">
        <f>IF(L587=2,COUNTIFS($L$1:L587,2,$B$1:B587,"Chương 5"),"")</f>
        <v>42</v>
      </c>
      <c r="G587" t="str">
        <f>VLOOKUP(D587,Ngan_hang_cau_hoi!$B$2:$K$142,L587,0)</f>
        <v>Máy bấm nút nguồn nhưng không có tín hiệu gì, quạt không quay.
Nguyên nhân có thể là:</v>
      </c>
      <c r="H587" t="str">
        <f>IFERROR(VLOOKUP(J587,Ngan_hang_cau_hoi!$I$2:$L$142,4,0),"")</f>
        <v/>
      </c>
      <c r="J587" t="str">
        <f>IF(VLOOKUP(D587,Ngan_hang_cau_hoi!$B$2:$K$142,8,0)=G587,G587,"")</f>
        <v/>
      </c>
      <c r="L587">
        <f t="shared" si="19"/>
        <v>2</v>
      </c>
    </row>
    <row r="588" spans="1:12" x14ac:dyDescent="0.25">
      <c r="A588">
        <v>586</v>
      </c>
      <c r="B588" t="str">
        <f>VLOOKUP(D588,Ngan_hang_cau_hoi!$B$2:$K$142,10,0)</f>
        <v>Chương 5</v>
      </c>
      <c r="C588" t="str">
        <f>VLOOKUP(D588,Ngan_hang_cau_hoi!$B$2:$K$142,9,0)</f>
        <v>Trung bình</v>
      </c>
      <c r="D588">
        <f t="shared" si="18"/>
        <v>118</v>
      </c>
      <c r="F588" t="str">
        <f>IF(L588=2,COUNTIFS($L$1:L588,2,$B$1:B588,"Chương 5"),"")</f>
        <v/>
      </c>
      <c r="G588" t="str">
        <f>VLOOKUP(D588,Ngan_hang_cau_hoi!$B$2:$K$142,L588,0)</f>
        <v>RAM hỏng</v>
      </c>
      <c r="H588" t="str">
        <f>IFERROR(VLOOKUP(J588,Ngan_hang_cau_hoi!$I$2:$L$142,4,0),"")</f>
        <v/>
      </c>
      <c r="J588" t="str">
        <f>IF(VLOOKUP(D588,Ngan_hang_cau_hoi!$B$2:$K$142,8,0)=G588,G588,"")</f>
        <v/>
      </c>
      <c r="L588">
        <f t="shared" si="19"/>
        <v>3</v>
      </c>
    </row>
    <row r="589" spans="1:12" x14ac:dyDescent="0.25">
      <c r="A589">
        <v>587</v>
      </c>
      <c r="B589" t="str">
        <f>VLOOKUP(D589,Ngan_hang_cau_hoi!$B$2:$K$142,10,0)</f>
        <v>Chương 5</v>
      </c>
      <c r="C589" t="str">
        <f>VLOOKUP(D589,Ngan_hang_cau_hoi!$B$2:$K$142,9,0)</f>
        <v>Trung bình</v>
      </c>
      <c r="D589">
        <f t="shared" si="18"/>
        <v>118</v>
      </c>
      <c r="F589" t="str">
        <f>IF(L589=2,COUNTIFS($L$1:L589,2,$B$1:B589,"Chương 5"),"")</f>
        <v/>
      </c>
      <c r="G589" t="str">
        <f>VLOOKUP(D589,Ngan_hang_cau_hoi!$B$2:$K$142,L589,0)</f>
        <v>PSU chưa cấp điện</v>
      </c>
      <c r="H589" t="str">
        <f>IFERROR(VLOOKUP(J589,Ngan_hang_cau_hoi!$I$2:$L$142,4,0),"")</f>
        <v>B</v>
      </c>
      <c r="J589" t="str">
        <f>IF(VLOOKUP(D589,Ngan_hang_cau_hoi!$B$2:$K$142,8,0)=G589,G589,"")</f>
        <v>PSU chưa cấp điện</v>
      </c>
      <c r="L589">
        <f t="shared" si="19"/>
        <v>4</v>
      </c>
    </row>
    <row r="590" spans="1:12" x14ac:dyDescent="0.25">
      <c r="A590">
        <v>588</v>
      </c>
      <c r="B590" t="str">
        <f>VLOOKUP(D590,Ngan_hang_cau_hoi!$B$2:$K$142,10,0)</f>
        <v>Chương 5</v>
      </c>
      <c r="C590" t="str">
        <f>VLOOKUP(D590,Ngan_hang_cau_hoi!$B$2:$K$142,9,0)</f>
        <v>Trung bình</v>
      </c>
      <c r="D590">
        <f t="shared" si="18"/>
        <v>118</v>
      </c>
      <c r="F590" t="str">
        <f>IF(L590=2,COUNTIFS($L$1:L590,2,$B$1:B590,"Chương 5"),"")</f>
        <v/>
      </c>
      <c r="G590" t="str">
        <f>VLOOKUP(D590,Ngan_hang_cau_hoi!$B$2:$K$142,L590,0)</f>
        <v>SSD lỗi</v>
      </c>
      <c r="H590" t="str">
        <f>IFERROR(VLOOKUP(J590,Ngan_hang_cau_hoi!$I$2:$L$142,4,0),"")</f>
        <v/>
      </c>
      <c r="J590" t="str">
        <f>IF(VLOOKUP(D590,Ngan_hang_cau_hoi!$B$2:$K$142,8,0)=G590,G590,"")</f>
        <v/>
      </c>
      <c r="L590">
        <f t="shared" si="19"/>
        <v>5</v>
      </c>
    </row>
    <row r="591" spans="1:12" x14ac:dyDescent="0.25">
      <c r="A591">
        <v>589</v>
      </c>
      <c r="B591" t="str">
        <f>VLOOKUP(D591,Ngan_hang_cau_hoi!$B$2:$K$142,10,0)</f>
        <v>Chương 5</v>
      </c>
      <c r="C591" t="str">
        <f>VLOOKUP(D591,Ngan_hang_cau_hoi!$B$2:$K$142,9,0)</f>
        <v>Trung bình</v>
      </c>
      <c r="D591">
        <f t="shared" si="18"/>
        <v>118</v>
      </c>
      <c r="F591" t="str">
        <f>IF(L591=2,COUNTIFS($L$1:L591,2,$B$1:B591,"Chương 5"),"")</f>
        <v/>
      </c>
      <c r="G591" t="str">
        <f>VLOOKUP(D591,Ngan_hang_cau_hoi!$B$2:$K$142,L591,0)</f>
        <v>GPU lỗi</v>
      </c>
      <c r="H591" t="str">
        <f>IFERROR(VLOOKUP(J591,Ngan_hang_cau_hoi!$I$2:$L$142,4,0),"")</f>
        <v/>
      </c>
      <c r="J591" t="str">
        <f>IF(VLOOKUP(D591,Ngan_hang_cau_hoi!$B$2:$K$142,8,0)=G591,G591,"")</f>
        <v/>
      </c>
      <c r="L591">
        <f t="shared" si="19"/>
        <v>6</v>
      </c>
    </row>
    <row r="592" spans="1:12" x14ac:dyDescent="0.25">
      <c r="A592">
        <v>590</v>
      </c>
      <c r="B592" t="str">
        <f>VLOOKUP(D592,Ngan_hang_cau_hoi!$B$2:$K$142,10,0)</f>
        <v>Chương 5</v>
      </c>
      <c r="C592" t="str">
        <f>VLOOKUP(D592,Ngan_hang_cau_hoi!$B$2:$K$142,9,0)</f>
        <v>Trung bình</v>
      </c>
      <c r="D592">
        <f t="shared" si="18"/>
        <v>119</v>
      </c>
      <c r="F592">
        <f>IF(L592=2,COUNTIFS($L$1:L592,2,$B$1:B592,"Chương 5"),"")</f>
        <v>43</v>
      </c>
      <c r="G592" t="str">
        <f>VLOOKUP(D592,Ngan_hang_cau_hoi!$B$2:$K$142,L592,0)</f>
        <v>Khi bật máy tính lên bíp liên tục. Nguyên nhân thường là:</v>
      </c>
      <c r="H592" t="str">
        <f>IFERROR(VLOOKUP(J592,Ngan_hang_cau_hoi!$I$2:$L$142,4,0),"")</f>
        <v/>
      </c>
      <c r="J592" t="str">
        <f>IF(VLOOKUP(D592,Ngan_hang_cau_hoi!$B$2:$K$142,8,0)=G592,G592,"")</f>
        <v/>
      </c>
      <c r="L592">
        <f t="shared" si="19"/>
        <v>2</v>
      </c>
    </row>
    <row r="593" spans="1:12" x14ac:dyDescent="0.25">
      <c r="A593">
        <v>591</v>
      </c>
      <c r="B593" t="str">
        <f>VLOOKUP(D593,Ngan_hang_cau_hoi!$B$2:$K$142,10,0)</f>
        <v>Chương 5</v>
      </c>
      <c r="C593" t="str">
        <f>VLOOKUP(D593,Ngan_hang_cau_hoi!$B$2:$K$142,9,0)</f>
        <v>Trung bình</v>
      </c>
      <c r="D593">
        <f t="shared" si="18"/>
        <v>119</v>
      </c>
      <c r="F593" t="str">
        <f>IF(L593=2,COUNTIFS($L$1:L593,2,$B$1:B593,"Chương 5"),"")</f>
        <v/>
      </c>
      <c r="G593" t="str">
        <f>VLOOKUP(D593,Ngan_hang_cau_hoi!$B$2:$K$142,L593,0)</f>
        <v>RAM lỗi</v>
      </c>
      <c r="H593" t="str">
        <f>IFERROR(VLOOKUP(J593,Ngan_hang_cau_hoi!$I$2:$L$142,4,0),"")</f>
        <v>A</v>
      </c>
      <c r="J593" t="str">
        <f>IF(VLOOKUP(D593,Ngan_hang_cau_hoi!$B$2:$K$142,8,0)=G593,G593,"")</f>
        <v>RAM lỗi</v>
      </c>
      <c r="L593">
        <f t="shared" si="19"/>
        <v>3</v>
      </c>
    </row>
    <row r="594" spans="1:12" x14ac:dyDescent="0.25">
      <c r="A594">
        <v>592</v>
      </c>
      <c r="B594" t="str">
        <f>VLOOKUP(D594,Ngan_hang_cau_hoi!$B$2:$K$142,10,0)</f>
        <v>Chương 5</v>
      </c>
      <c r="C594" t="str">
        <f>VLOOKUP(D594,Ngan_hang_cau_hoi!$B$2:$K$142,9,0)</f>
        <v>Trung bình</v>
      </c>
      <c r="D594">
        <f t="shared" si="18"/>
        <v>119</v>
      </c>
      <c r="F594" t="str">
        <f>IF(L594=2,COUNTIFS($L$1:L594,2,$B$1:B594,"Chương 5"),"")</f>
        <v/>
      </c>
      <c r="G594" t="str">
        <f>VLOOKUP(D594,Ngan_hang_cau_hoi!$B$2:$K$142,L594,0)</f>
        <v>SSD lỗi</v>
      </c>
      <c r="H594" t="str">
        <f>IFERROR(VLOOKUP(J594,Ngan_hang_cau_hoi!$I$2:$L$142,4,0),"")</f>
        <v/>
      </c>
      <c r="J594" t="str">
        <f>IF(VLOOKUP(D594,Ngan_hang_cau_hoi!$B$2:$K$142,8,0)=G594,G594,"")</f>
        <v/>
      </c>
      <c r="L594">
        <f t="shared" si="19"/>
        <v>4</v>
      </c>
    </row>
    <row r="595" spans="1:12" x14ac:dyDescent="0.25">
      <c r="A595">
        <v>593</v>
      </c>
      <c r="B595" t="str">
        <f>VLOOKUP(D595,Ngan_hang_cau_hoi!$B$2:$K$142,10,0)</f>
        <v>Chương 5</v>
      </c>
      <c r="C595" t="str">
        <f>VLOOKUP(D595,Ngan_hang_cau_hoi!$B$2:$K$142,9,0)</f>
        <v>Trung bình</v>
      </c>
      <c r="D595">
        <f t="shared" si="18"/>
        <v>119</v>
      </c>
      <c r="F595" t="str">
        <f>IF(L595=2,COUNTIFS($L$1:L595,2,$B$1:B595,"Chương 5"),"")</f>
        <v/>
      </c>
      <c r="G595" t="str">
        <f>VLOOKUP(D595,Ngan_hang_cau_hoi!$B$2:$K$142,L595,0)</f>
        <v>HDD lỗi</v>
      </c>
      <c r="H595" t="str">
        <f>IFERROR(VLOOKUP(J595,Ngan_hang_cau_hoi!$I$2:$L$142,4,0),"")</f>
        <v/>
      </c>
      <c r="J595" t="str">
        <f>IF(VLOOKUP(D595,Ngan_hang_cau_hoi!$B$2:$K$142,8,0)=G595,G595,"")</f>
        <v/>
      </c>
      <c r="L595">
        <f t="shared" si="19"/>
        <v>5</v>
      </c>
    </row>
    <row r="596" spans="1:12" x14ac:dyDescent="0.25">
      <c r="A596">
        <v>594</v>
      </c>
      <c r="B596" t="str">
        <f>VLOOKUP(D596,Ngan_hang_cau_hoi!$B$2:$K$142,10,0)</f>
        <v>Chương 5</v>
      </c>
      <c r="C596" t="str">
        <f>VLOOKUP(D596,Ngan_hang_cau_hoi!$B$2:$K$142,9,0)</f>
        <v>Trung bình</v>
      </c>
      <c r="D596">
        <f t="shared" si="18"/>
        <v>119</v>
      </c>
      <c r="F596" t="str">
        <f>IF(L596=2,COUNTIFS($L$1:L596,2,$B$1:B596,"Chương 5"),"")</f>
        <v/>
      </c>
      <c r="G596" t="str">
        <f>VLOOKUP(D596,Ngan_hang_cau_hoi!$B$2:$K$142,L596,0)</f>
        <v>GPU lỗi</v>
      </c>
      <c r="H596" t="str">
        <f>IFERROR(VLOOKUP(J596,Ngan_hang_cau_hoi!$I$2:$L$142,4,0),"")</f>
        <v/>
      </c>
      <c r="J596" t="str">
        <f>IF(VLOOKUP(D596,Ngan_hang_cau_hoi!$B$2:$K$142,8,0)=G596,G596,"")</f>
        <v/>
      </c>
      <c r="L596">
        <f t="shared" si="19"/>
        <v>6</v>
      </c>
    </row>
    <row r="597" spans="1:12" x14ac:dyDescent="0.25">
      <c r="A597">
        <v>595</v>
      </c>
      <c r="B597" t="str">
        <f>VLOOKUP(D597,Ngan_hang_cau_hoi!$B$2:$K$142,10,0)</f>
        <v>Chương 5</v>
      </c>
      <c r="C597" t="str">
        <f>VLOOKUP(D597,Ngan_hang_cau_hoi!$B$2:$K$142,9,0)</f>
        <v>Trung bình</v>
      </c>
      <c r="D597">
        <f t="shared" si="18"/>
        <v>120</v>
      </c>
      <c r="F597">
        <f>IF(L597=2,COUNTIFS($L$1:L597,2,$B$1:B597,"Chương 5"),"")</f>
        <v>44</v>
      </c>
      <c r="G597" t="str">
        <f>VLOOKUP(D597,Ngan_hang_cau_hoi!$B$2:$K$142,L597,0)</f>
        <v>BIOS không nhận SSD NVMe.
Nguyên nhân có thể:</v>
      </c>
      <c r="H597" t="str">
        <f>IFERROR(VLOOKUP(J597,Ngan_hang_cau_hoi!$I$2:$L$142,4,0),"")</f>
        <v/>
      </c>
      <c r="J597" t="str">
        <f>IF(VLOOKUP(D597,Ngan_hang_cau_hoi!$B$2:$K$142,8,0)=G597,G597,"")</f>
        <v/>
      </c>
      <c r="L597">
        <f t="shared" si="19"/>
        <v>2</v>
      </c>
    </row>
    <row r="598" spans="1:12" x14ac:dyDescent="0.25">
      <c r="A598">
        <v>596</v>
      </c>
      <c r="B598" t="str">
        <f>VLOOKUP(D598,Ngan_hang_cau_hoi!$B$2:$K$142,10,0)</f>
        <v>Chương 5</v>
      </c>
      <c r="C598" t="str">
        <f>VLOOKUP(D598,Ngan_hang_cau_hoi!$B$2:$K$142,9,0)</f>
        <v>Trung bình</v>
      </c>
      <c r="D598">
        <f t="shared" si="18"/>
        <v>120</v>
      </c>
      <c r="F598" t="str">
        <f>IF(L598=2,COUNTIFS($L$1:L598,2,$B$1:B598,"Chương 5"),"")</f>
        <v/>
      </c>
      <c r="G598" t="str">
        <f>VLOOKUP(D598,Ngan_hang_cau_hoi!$B$2:$K$142,L598,0)</f>
        <v>mainboard không hỗ trợ NVMe</v>
      </c>
      <c r="H598" t="str">
        <f>IFERROR(VLOOKUP(J598,Ngan_hang_cau_hoi!$I$2:$L$142,4,0),"")</f>
        <v>A</v>
      </c>
      <c r="J598" t="str">
        <f>IF(VLOOKUP(D598,Ngan_hang_cau_hoi!$B$2:$K$142,8,0)=G598,G598,"")</f>
        <v>mainboard không hỗ trợ NVMe</v>
      </c>
      <c r="L598">
        <f t="shared" si="19"/>
        <v>3</v>
      </c>
    </row>
    <row r="599" spans="1:12" x14ac:dyDescent="0.25">
      <c r="A599">
        <v>597</v>
      </c>
      <c r="B599" t="str">
        <f>VLOOKUP(D599,Ngan_hang_cau_hoi!$B$2:$K$142,10,0)</f>
        <v>Chương 5</v>
      </c>
      <c r="C599" t="str">
        <f>VLOOKUP(D599,Ngan_hang_cau_hoi!$B$2:$K$142,9,0)</f>
        <v>Trung bình</v>
      </c>
      <c r="D599">
        <f t="shared" si="18"/>
        <v>120</v>
      </c>
      <c r="F599" t="str">
        <f>IF(L599=2,COUNTIFS($L$1:L599,2,$B$1:B599,"Chương 5"),"")</f>
        <v/>
      </c>
      <c r="G599" t="str">
        <f>VLOOKUP(D599,Ngan_hang_cau_hoi!$B$2:$K$142,L599,0)</f>
        <v>CPU lỗi</v>
      </c>
      <c r="H599" t="str">
        <f>IFERROR(VLOOKUP(J599,Ngan_hang_cau_hoi!$I$2:$L$142,4,0),"")</f>
        <v/>
      </c>
      <c r="J599" t="str">
        <f>IF(VLOOKUP(D599,Ngan_hang_cau_hoi!$B$2:$K$142,8,0)=G599,G599,"")</f>
        <v/>
      </c>
      <c r="L599">
        <f t="shared" si="19"/>
        <v>4</v>
      </c>
    </row>
    <row r="600" spans="1:12" x14ac:dyDescent="0.25">
      <c r="A600">
        <v>598</v>
      </c>
      <c r="B600" t="str">
        <f>VLOOKUP(D600,Ngan_hang_cau_hoi!$B$2:$K$142,10,0)</f>
        <v>Chương 5</v>
      </c>
      <c r="C600" t="str">
        <f>VLOOKUP(D600,Ngan_hang_cau_hoi!$B$2:$K$142,9,0)</f>
        <v>Trung bình</v>
      </c>
      <c r="D600">
        <f t="shared" si="18"/>
        <v>120</v>
      </c>
      <c r="F600" t="str">
        <f>IF(L600=2,COUNTIFS($L$1:L600,2,$B$1:B600,"Chương 5"),"")</f>
        <v/>
      </c>
      <c r="G600" t="str">
        <f>VLOOKUP(D600,Ngan_hang_cau_hoi!$B$2:$K$142,L600,0)</f>
        <v>quên cắm dây HDMI vào GPU</v>
      </c>
      <c r="H600" t="str">
        <f>IFERROR(VLOOKUP(J600,Ngan_hang_cau_hoi!$I$2:$L$142,4,0),"")</f>
        <v/>
      </c>
      <c r="J600" t="str">
        <f>IF(VLOOKUP(D600,Ngan_hang_cau_hoi!$B$2:$K$142,8,0)=G600,G600,"")</f>
        <v/>
      </c>
      <c r="L600">
        <f t="shared" si="19"/>
        <v>5</v>
      </c>
    </row>
    <row r="601" spans="1:12" x14ac:dyDescent="0.25">
      <c r="A601">
        <v>599</v>
      </c>
      <c r="B601" t="str">
        <f>VLOOKUP(D601,Ngan_hang_cau_hoi!$B$2:$K$142,10,0)</f>
        <v>Chương 5</v>
      </c>
      <c r="C601" t="str">
        <f>VLOOKUP(D601,Ngan_hang_cau_hoi!$B$2:$K$142,9,0)</f>
        <v>Trung bình</v>
      </c>
      <c r="D601">
        <f t="shared" si="18"/>
        <v>120</v>
      </c>
      <c r="F601" t="str">
        <f>IF(L601=2,COUNTIFS($L$1:L601,2,$B$1:B601,"Chương 5"),"")</f>
        <v/>
      </c>
      <c r="G601" t="str">
        <f>VLOOKUP(D601,Ngan_hang_cau_hoi!$B$2:$K$142,L601,0)</f>
        <v>chưa cắm dây CPU fan</v>
      </c>
      <c r="H601" t="str">
        <f>IFERROR(VLOOKUP(J601,Ngan_hang_cau_hoi!$I$2:$L$142,4,0),"")</f>
        <v/>
      </c>
      <c r="J601" t="str">
        <f>IF(VLOOKUP(D601,Ngan_hang_cau_hoi!$B$2:$K$142,8,0)=G601,G601,"")</f>
        <v/>
      </c>
      <c r="L601">
        <f t="shared" si="19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9B6F-751C-4062-ABA2-B3DA6F080F99}">
  <dimension ref="A1:F643"/>
  <sheetViews>
    <sheetView tabSelected="1" topLeftCell="A603" zoomScaleNormal="100" workbookViewId="0">
      <selection activeCell="F612" sqref="C1:F612"/>
    </sheetView>
  </sheetViews>
  <sheetFormatPr defaultRowHeight="16.5" x14ac:dyDescent="0.25"/>
  <cols>
    <col min="1" max="1" width="14.42578125" customWidth="1"/>
    <col min="2" max="2" width="16.140625" customWidth="1"/>
    <col min="3" max="3" width="9.140625" style="26"/>
    <col min="4" max="4" width="74" style="26" customWidth="1"/>
    <col min="5" max="5" width="12" style="26" customWidth="1"/>
  </cols>
  <sheetData>
    <row r="1" spans="1:6" ht="33" x14ac:dyDescent="0.25">
      <c r="A1" t="s">
        <v>484</v>
      </c>
      <c r="B1" t="s">
        <v>347</v>
      </c>
      <c r="C1" s="27" t="s">
        <v>490</v>
      </c>
      <c r="D1" s="27" t="s">
        <v>491</v>
      </c>
      <c r="E1" s="27" t="s">
        <v>486</v>
      </c>
      <c r="F1" s="27" t="s">
        <v>492</v>
      </c>
    </row>
    <row r="2" spans="1:6" x14ac:dyDescent="0.25">
      <c r="C2" s="4"/>
      <c r="D2" s="28" t="s">
        <v>480</v>
      </c>
      <c r="E2" s="4"/>
      <c r="F2" s="29"/>
    </row>
    <row r="3" spans="1:6" x14ac:dyDescent="0.25">
      <c r="C3" s="4"/>
      <c r="D3" s="28" t="s">
        <v>488</v>
      </c>
      <c r="E3" s="4"/>
      <c r="F3" s="29"/>
    </row>
    <row r="4" spans="1:6" x14ac:dyDescent="0.25">
      <c r="A4" t="s">
        <v>480</v>
      </c>
      <c r="B4" t="s">
        <v>10</v>
      </c>
      <c r="C4" s="4">
        <v>1</v>
      </c>
      <c r="D4" s="4" t="s">
        <v>403</v>
      </c>
      <c r="E4" s="4" t="s">
        <v>487</v>
      </c>
      <c r="F4" s="29">
        <v>0.2</v>
      </c>
    </row>
    <row r="5" spans="1:6" x14ac:dyDescent="0.25">
      <c r="A5" t="s">
        <v>480</v>
      </c>
      <c r="B5" t="s">
        <v>10</v>
      </c>
      <c r="C5" s="4" t="s">
        <v>487</v>
      </c>
      <c r="D5" s="4" t="s">
        <v>406</v>
      </c>
      <c r="E5" s="4" t="s">
        <v>487</v>
      </c>
      <c r="F5" s="29"/>
    </row>
    <row r="6" spans="1:6" x14ac:dyDescent="0.25">
      <c r="A6" t="s">
        <v>480</v>
      </c>
      <c r="B6" t="s">
        <v>10</v>
      </c>
      <c r="C6" s="4" t="s">
        <v>487</v>
      </c>
      <c r="D6" s="4" t="s">
        <v>405</v>
      </c>
      <c r="E6" s="4" t="s">
        <v>487</v>
      </c>
      <c r="F6" s="29"/>
    </row>
    <row r="7" spans="1:6" x14ac:dyDescent="0.25">
      <c r="A7" t="s">
        <v>480</v>
      </c>
      <c r="B7" t="s">
        <v>10</v>
      </c>
      <c r="C7" s="4" t="s">
        <v>487</v>
      </c>
      <c r="D7" s="4" t="s">
        <v>404</v>
      </c>
      <c r="E7" s="4" t="s">
        <v>17</v>
      </c>
      <c r="F7" s="29"/>
    </row>
    <row r="8" spans="1:6" x14ac:dyDescent="0.25">
      <c r="A8" t="s">
        <v>480</v>
      </c>
      <c r="B8" t="s">
        <v>10</v>
      </c>
      <c r="C8" s="4" t="s">
        <v>487</v>
      </c>
      <c r="D8" s="4" t="s">
        <v>407</v>
      </c>
      <c r="E8" s="4" t="s">
        <v>487</v>
      </c>
      <c r="F8" s="29"/>
    </row>
    <row r="9" spans="1:6" x14ac:dyDescent="0.25">
      <c r="A9" t="s">
        <v>480</v>
      </c>
      <c r="B9" t="s">
        <v>10</v>
      </c>
      <c r="C9" s="4">
        <v>2</v>
      </c>
      <c r="D9" s="4" t="s">
        <v>43</v>
      </c>
      <c r="E9" s="4" t="s">
        <v>487</v>
      </c>
      <c r="F9" s="29">
        <v>0.2</v>
      </c>
    </row>
    <row r="10" spans="1:6" x14ac:dyDescent="0.25">
      <c r="A10" t="s">
        <v>480</v>
      </c>
      <c r="B10" t="s">
        <v>10</v>
      </c>
      <c r="C10" s="4" t="s">
        <v>487</v>
      </c>
      <c r="D10" s="4" t="s">
        <v>44</v>
      </c>
      <c r="E10" s="4" t="s">
        <v>487</v>
      </c>
      <c r="F10" s="29"/>
    </row>
    <row r="11" spans="1:6" x14ac:dyDescent="0.25">
      <c r="A11" t="s">
        <v>480</v>
      </c>
      <c r="B11" t="s">
        <v>10</v>
      </c>
      <c r="C11" s="4" t="s">
        <v>487</v>
      </c>
      <c r="D11" s="4" t="s">
        <v>45</v>
      </c>
      <c r="E11" s="4" t="s">
        <v>9</v>
      </c>
      <c r="F11" s="29"/>
    </row>
    <row r="12" spans="1:6" x14ac:dyDescent="0.25">
      <c r="A12" t="s">
        <v>480</v>
      </c>
      <c r="B12" t="s">
        <v>10</v>
      </c>
      <c r="C12" s="4" t="s">
        <v>487</v>
      </c>
      <c r="D12" s="4" t="s">
        <v>19</v>
      </c>
      <c r="E12" s="4" t="s">
        <v>487</v>
      </c>
      <c r="F12" s="29"/>
    </row>
    <row r="13" spans="1:6" x14ac:dyDescent="0.25">
      <c r="A13" t="s">
        <v>480</v>
      </c>
      <c r="B13" t="s">
        <v>10</v>
      </c>
      <c r="C13" s="4" t="s">
        <v>487</v>
      </c>
      <c r="D13" s="4" t="s">
        <v>21</v>
      </c>
      <c r="E13" s="4" t="s">
        <v>487</v>
      </c>
      <c r="F13" s="29"/>
    </row>
    <row r="14" spans="1:6" x14ac:dyDescent="0.25">
      <c r="A14" t="s">
        <v>480</v>
      </c>
      <c r="B14" t="s">
        <v>10</v>
      </c>
      <c r="C14" s="4">
        <v>3</v>
      </c>
      <c r="D14" s="4" t="s">
        <v>4</v>
      </c>
      <c r="E14" s="4" t="s">
        <v>487</v>
      </c>
      <c r="F14" s="29">
        <v>0.2</v>
      </c>
    </row>
    <row r="15" spans="1:6" x14ac:dyDescent="0.25">
      <c r="A15" t="s">
        <v>480</v>
      </c>
      <c r="B15" t="s">
        <v>10</v>
      </c>
      <c r="C15" s="4" t="s">
        <v>487</v>
      </c>
      <c r="D15" s="4" t="s">
        <v>5</v>
      </c>
      <c r="E15" s="4" t="s">
        <v>487</v>
      </c>
      <c r="F15" s="29"/>
    </row>
    <row r="16" spans="1:6" x14ac:dyDescent="0.25">
      <c r="A16" t="s">
        <v>480</v>
      </c>
      <c r="B16" t="s">
        <v>10</v>
      </c>
      <c r="C16" s="4" t="s">
        <v>487</v>
      </c>
      <c r="D16" s="4" t="s">
        <v>6</v>
      </c>
      <c r="E16" s="4" t="s">
        <v>9</v>
      </c>
      <c r="F16" s="29"/>
    </row>
    <row r="17" spans="1:6" x14ac:dyDescent="0.25">
      <c r="A17" t="s">
        <v>480</v>
      </c>
      <c r="B17" t="s">
        <v>10</v>
      </c>
      <c r="C17" s="4" t="s">
        <v>487</v>
      </c>
      <c r="D17" s="4" t="s">
        <v>7</v>
      </c>
      <c r="E17" s="4" t="s">
        <v>487</v>
      </c>
      <c r="F17" s="29"/>
    </row>
    <row r="18" spans="1:6" x14ac:dyDescent="0.25">
      <c r="A18" t="s">
        <v>480</v>
      </c>
      <c r="B18" t="s">
        <v>10</v>
      </c>
      <c r="C18" s="4" t="s">
        <v>487</v>
      </c>
      <c r="D18" s="4" t="s">
        <v>8</v>
      </c>
      <c r="E18" s="4" t="s">
        <v>487</v>
      </c>
      <c r="F18" s="29"/>
    </row>
    <row r="19" spans="1:6" x14ac:dyDescent="0.25">
      <c r="A19" t="s">
        <v>480</v>
      </c>
      <c r="B19" t="s">
        <v>10</v>
      </c>
      <c r="C19" s="4">
        <v>4</v>
      </c>
      <c r="D19" s="4" t="s">
        <v>31</v>
      </c>
      <c r="E19" s="4" t="s">
        <v>487</v>
      </c>
      <c r="F19" s="29">
        <v>0.2</v>
      </c>
    </row>
    <row r="20" spans="1:6" x14ac:dyDescent="0.25">
      <c r="A20" t="s">
        <v>480</v>
      </c>
      <c r="B20" t="s">
        <v>10</v>
      </c>
      <c r="C20" s="4" t="s">
        <v>487</v>
      </c>
      <c r="D20" s="4" t="s">
        <v>32</v>
      </c>
      <c r="E20" s="4" t="s">
        <v>36</v>
      </c>
      <c r="F20" s="29"/>
    </row>
    <row r="21" spans="1:6" x14ac:dyDescent="0.25">
      <c r="A21" t="s">
        <v>480</v>
      </c>
      <c r="B21" t="s">
        <v>10</v>
      </c>
      <c r="C21" s="4" t="s">
        <v>487</v>
      </c>
      <c r="D21" s="4" t="s">
        <v>33</v>
      </c>
      <c r="E21" s="4" t="s">
        <v>487</v>
      </c>
      <c r="F21" s="29"/>
    </row>
    <row r="22" spans="1:6" x14ac:dyDescent="0.25">
      <c r="A22" t="s">
        <v>480</v>
      </c>
      <c r="B22" t="s">
        <v>10</v>
      </c>
      <c r="C22" s="4" t="s">
        <v>487</v>
      </c>
      <c r="D22" s="4" t="s">
        <v>34</v>
      </c>
      <c r="E22" s="4" t="s">
        <v>487</v>
      </c>
      <c r="F22" s="29"/>
    </row>
    <row r="23" spans="1:6" x14ac:dyDescent="0.25">
      <c r="A23" t="s">
        <v>480</v>
      </c>
      <c r="B23" t="s">
        <v>10</v>
      </c>
      <c r="C23" s="4" t="s">
        <v>487</v>
      </c>
      <c r="D23" s="4" t="s">
        <v>35</v>
      </c>
      <c r="E23" s="4" t="s">
        <v>487</v>
      </c>
      <c r="F23" s="29"/>
    </row>
    <row r="24" spans="1:6" x14ac:dyDescent="0.25">
      <c r="A24" t="s">
        <v>480</v>
      </c>
      <c r="B24" t="s">
        <v>10</v>
      </c>
      <c r="C24" s="4">
        <v>5</v>
      </c>
      <c r="D24" s="4" t="s">
        <v>23</v>
      </c>
      <c r="E24" s="4" t="s">
        <v>487</v>
      </c>
      <c r="F24" s="29">
        <v>0.2</v>
      </c>
    </row>
    <row r="25" spans="1:6" x14ac:dyDescent="0.25">
      <c r="A25" t="s">
        <v>480</v>
      </c>
      <c r="B25" t="s">
        <v>10</v>
      </c>
      <c r="C25" s="4" t="s">
        <v>487</v>
      </c>
      <c r="D25" s="4" t="s">
        <v>24</v>
      </c>
      <c r="E25" s="4" t="s">
        <v>487</v>
      </c>
      <c r="F25" s="29"/>
    </row>
    <row r="26" spans="1:6" x14ac:dyDescent="0.25">
      <c r="A26" t="s">
        <v>480</v>
      </c>
      <c r="B26" t="s">
        <v>10</v>
      </c>
      <c r="C26" s="4" t="s">
        <v>487</v>
      </c>
      <c r="D26" s="4" t="s">
        <v>25</v>
      </c>
      <c r="E26" s="4" t="s">
        <v>9</v>
      </c>
      <c r="F26" s="29"/>
    </row>
    <row r="27" spans="1:6" x14ac:dyDescent="0.25">
      <c r="A27" t="s">
        <v>480</v>
      </c>
      <c r="B27" t="s">
        <v>10</v>
      </c>
      <c r="C27" s="4" t="s">
        <v>487</v>
      </c>
      <c r="D27" s="4" t="s">
        <v>26</v>
      </c>
      <c r="E27" s="4" t="s">
        <v>487</v>
      </c>
      <c r="F27" s="29"/>
    </row>
    <row r="28" spans="1:6" x14ac:dyDescent="0.25">
      <c r="A28" t="s">
        <v>480</v>
      </c>
      <c r="B28" t="s">
        <v>10</v>
      </c>
      <c r="C28" s="4" t="s">
        <v>487</v>
      </c>
      <c r="D28" s="4" t="s">
        <v>27</v>
      </c>
      <c r="E28" s="4" t="s">
        <v>487</v>
      </c>
      <c r="F28" s="29"/>
    </row>
    <row r="29" spans="1:6" x14ac:dyDescent="0.25">
      <c r="A29" t="s">
        <v>480</v>
      </c>
      <c r="B29" t="s">
        <v>10</v>
      </c>
      <c r="C29" s="4">
        <v>6</v>
      </c>
      <c r="D29" s="4" t="s">
        <v>336</v>
      </c>
      <c r="E29" s="4" t="s">
        <v>487</v>
      </c>
      <c r="F29" s="29">
        <v>0.2</v>
      </c>
    </row>
    <row r="30" spans="1:6" x14ac:dyDescent="0.25">
      <c r="A30" t="s">
        <v>480</v>
      </c>
      <c r="B30" t="s">
        <v>10</v>
      </c>
      <c r="C30" s="4" t="s">
        <v>487</v>
      </c>
      <c r="D30" s="4" t="s">
        <v>349</v>
      </c>
      <c r="E30" s="4" t="s">
        <v>487</v>
      </c>
      <c r="F30" s="29"/>
    </row>
    <row r="31" spans="1:6" x14ac:dyDescent="0.25">
      <c r="A31" t="s">
        <v>480</v>
      </c>
      <c r="B31" t="s">
        <v>10</v>
      </c>
      <c r="C31" s="4" t="s">
        <v>487</v>
      </c>
      <c r="D31" s="4" t="s">
        <v>337</v>
      </c>
      <c r="E31" s="4" t="s">
        <v>9</v>
      </c>
      <c r="F31" s="29"/>
    </row>
    <row r="32" spans="1:6" x14ac:dyDescent="0.25">
      <c r="A32" t="s">
        <v>480</v>
      </c>
      <c r="B32" t="s">
        <v>10</v>
      </c>
      <c r="C32" s="4" t="s">
        <v>487</v>
      </c>
      <c r="D32" s="4" t="s">
        <v>338</v>
      </c>
      <c r="E32" s="4" t="s">
        <v>487</v>
      </c>
      <c r="F32" s="29"/>
    </row>
    <row r="33" spans="1:6" x14ac:dyDescent="0.25">
      <c r="A33" t="s">
        <v>480</v>
      </c>
      <c r="B33" t="s">
        <v>10</v>
      </c>
      <c r="C33" s="4" t="s">
        <v>487</v>
      </c>
      <c r="D33" s="4" t="s">
        <v>339</v>
      </c>
      <c r="E33" s="4" t="s">
        <v>487</v>
      </c>
      <c r="F33" s="29"/>
    </row>
    <row r="34" spans="1:6" x14ac:dyDescent="0.25">
      <c r="A34" t="s">
        <v>480</v>
      </c>
      <c r="B34" t="s">
        <v>10</v>
      </c>
      <c r="C34" s="4">
        <v>7</v>
      </c>
      <c r="D34" s="4" t="s">
        <v>411</v>
      </c>
      <c r="E34" s="4" t="s">
        <v>487</v>
      </c>
      <c r="F34" s="29">
        <v>0.2</v>
      </c>
    </row>
    <row r="35" spans="1:6" x14ac:dyDescent="0.25">
      <c r="A35" t="s">
        <v>480</v>
      </c>
      <c r="B35" t="s">
        <v>10</v>
      </c>
      <c r="C35" s="4" t="s">
        <v>487</v>
      </c>
      <c r="D35" s="4" t="s">
        <v>409</v>
      </c>
      <c r="E35" s="4" t="s">
        <v>487</v>
      </c>
      <c r="F35" s="29"/>
    </row>
    <row r="36" spans="1:6" x14ac:dyDescent="0.25">
      <c r="A36" t="s">
        <v>480</v>
      </c>
      <c r="B36" t="s">
        <v>10</v>
      </c>
      <c r="C36" s="4" t="s">
        <v>487</v>
      </c>
      <c r="D36" s="4" t="s">
        <v>408</v>
      </c>
      <c r="E36" s="4" t="s">
        <v>9</v>
      </c>
      <c r="F36" s="29"/>
    </row>
    <row r="37" spans="1:6" x14ac:dyDescent="0.25">
      <c r="A37" t="s">
        <v>480</v>
      </c>
      <c r="B37" t="s">
        <v>10</v>
      </c>
      <c r="C37" s="4" t="s">
        <v>487</v>
      </c>
      <c r="D37" s="4" t="s">
        <v>410</v>
      </c>
      <c r="E37" s="4" t="s">
        <v>487</v>
      </c>
      <c r="F37" s="29"/>
    </row>
    <row r="38" spans="1:6" x14ac:dyDescent="0.25">
      <c r="A38" t="s">
        <v>480</v>
      </c>
      <c r="B38" t="s">
        <v>10</v>
      </c>
      <c r="C38" s="4" t="s">
        <v>487</v>
      </c>
      <c r="D38" s="4" t="s">
        <v>412</v>
      </c>
      <c r="E38" s="4" t="s">
        <v>487</v>
      </c>
      <c r="F38" s="29"/>
    </row>
    <row r="39" spans="1:6" x14ac:dyDescent="0.25">
      <c r="A39" t="s">
        <v>480</v>
      </c>
      <c r="B39" t="s">
        <v>10</v>
      </c>
      <c r="C39" s="4">
        <v>8</v>
      </c>
      <c r="D39" s="4" t="s">
        <v>28</v>
      </c>
      <c r="E39" s="4" t="s">
        <v>487</v>
      </c>
      <c r="F39" s="29">
        <v>0.2</v>
      </c>
    </row>
    <row r="40" spans="1:6" x14ac:dyDescent="0.25">
      <c r="A40" t="s">
        <v>480</v>
      </c>
      <c r="B40" t="s">
        <v>10</v>
      </c>
      <c r="C40" s="4" t="s">
        <v>487</v>
      </c>
      <c r="D40" s="4" t="s">
        <v>20</v>
      </c>
      <c r="E40" s="4" t="s">
        <v>487</v>
      </c>
      <c r="F40" s="29"/>
    </row>
    <row r="41" spans="1:6" x14ac:dyDescent="0.25">
      <c r="A41" t="s">
        <v>480</v>
      </c>
      <c r="B41" t="s">
        <v>10</v>
      </c>
      <c r="C41" s="4" t="s">
        <v>487</v>
      </c>
      <c r="D41" s="4" t="s">
        <v>29</v>
      </c>
      <c r="E41" s="4" t="s">
        <v>9</v>
      </c>
      <c r="F41" s="29"/>
    </row>
    <row r="42" spans="1:6" x14ac:dyDescent="0.25">
      <c r="A42" t="s">
        <v>480</v>
      </c>
      <c r="B42" t="s">
        <v>10</v>
      </c>
      <c r="C42" s="4" t="s">
        <v>487</v>
      </c>
      <c r="D42" s="4" t="s">
        <v>30</v>
      </c>
      <c r="E42" s="4" t="s">
        <v>487</v>
      </c>
      <c r="F42" s="29"/>
    </row>
    <row r="43" spans="1:6" x14ac:dyDescent="0.25">
      <c r="A43" t="s">
        <v>480</v>
      </c>
      <c r="B43" t="s">
        <v>10</v>
      </c>
      <c r="C43" s="4" t="s">
        <v>487</v>
      </c>
      <c r="D43" s="4" t="s">
        <v>11</v>
      </c>
      <c r="E43" s="4" t="s">
        <v>487</v>
      </c>
      <c r="F43" s="29"/>
    </row>
    <row r="44" spans="1:6" x14ac:dyDescent="0.25">
      <c r="A44" t="s">
        <v>480</v>
      </c>
      <c r="B44" t="s">
        <v>10</v>
      </c>
      <c r="C44" s="4">
        <v>9</v>
      </c>
      <c r="D44" s="4" t="s">
        <v>340</v>
      </c>
      <c r="E44" s="4" t="s">
        <v>487</v>
      </c>
      <c r="F44" s="29">
        <v>0.2</v>
      </c>
    </row>
    <row r="45" spans="1:6" x14ac:dyDescent="0.25">
      <c r="A45" t="s">
        <v>480</v>
      </c>
      <c r="B45" t="s">
        <v>10</v>
      </c>
      <c r="C45" s="4" t="s">
        <v>487</v>
      </c>
      <c r="D45" s="4" t="s">
        <v>113</v>
      </c>
      <c r="E45" s="4" t="s">
        <v>487</v>
      </c>
      <c r="F45" s="29"/>
    </row>
    <row r="46" spans="1:6" x14ac:dyDescent="0.25">
      <c r="A46" t="s">
        <v>480</v>
      </c>
      <c r="B46" t="s">
        <v>10</v>
      </c>
      <c r="C46" s="4" t="s">
        <v>487</v>
      </c>
      <c r="D46" s="4" t="s">
        <v>162</v>
      </c>
      <c r="E46" s="4" t="s">
        <v>9</v>
      </c>
      <c r="F46" s="29"/>
    </row>
    <row r="47" spans="1:6" x14ac:dyDescent="0.25">
      <c r="A47" t="s">
        <v>480</v>
      </c>
      <c r="B47" t="s">
        <v>10</v>
      </c>
      <c r="C47" s="4" t="s">
        <v>487</v>
      </c>
      <c r="D47" s="4" t="s">
        <v>163</v>
      </c>
      <c r="E47" s="4" t="s">
        <v>487</v>
      </c>
      <c r="F47" s="29"/>
    </row>
    <row r="48" spans="1:6" x14ac:dyDescent="0.25">
      <c r="A48" t="s">
        <v>480</v>
      </c>
      <c r="B48" t="s">
        <v>10</v>
      </c>
      <c r="C48" s="4" t="s">
        <v>487</v>
      </c>
      <c r="D48" s="4" t="s">
        <v>341</v>
      </c>
      <c r="E48" s="4" t="s">
        <v>487</v>
      </c>
      <c r="F48" s="29"/>
    </row>
    <row r="49" spans="1:6" x14ac:dyDescent="0.25">
      <c r="A49" t="s">
        <v>480</v>
      </c>
      <c r="B49" t="s">
        <v>10</v>
      </c>
      <c r="C49" s="4">
        <v>10</v>
      </c>
      <c r="D49" s="4" t="s">
        <v>328</v>
      </c>
      <c r="E49" s="4" t="s">
        <v>487</v>
      </c>
      <c r="F49" s="29">
        <v>0.2</v>
      </c>
    </row>
    <row r="50" spans="1:6" x14ac:dyDescent="0.25">
      <c r="A50" t="s">
        <v>480</v>
      </c>
      <c r="B50" t="s">
        <v>10</v>
      </c>
      <c r="C50" s="4" t="s">
        <v>487</v>
      </c>
      <c r="D50" s="4" t="s">
        <v>414</v>
      </c>
      <c r="E50" s="4" t="s">
        <v>487</v>
      </c>
      <c r="F50" s="29"/>
    </row>
    <row r="51" spans="1:6" x14ac:dyDescent="0.25">
      <c r="A51" t="s">
        <v>480</v>
      </c>
      <c r="B51" t="s">
        <v>10</v>
      </c>
      <c r="C51" s="4" t="s">
        <v>487</v>
      </c>
      <c r="D51" s="4" t="s">
        <v>415</v>
      </c>
      <c r="E51" s="4" t="s">
        <v>9</v>
      </c>
      <c r="F51" s="29"/>
    </row>
    <row r="52" spans="1:6" x14ac:dyDescent="0.25">
      <c r="A52" t="s">
        <v>480</v>
      </c>
      <c r="B52" t="s">
        <v>10</v>
      </c>
      <c r="C52" s="4" t="s">
        <v>487</v>
      </c>
      <c r="D52" s="4" t="s">
        <v>416</v>
      </c>
      <c r="E52" s="4" t="s">
        <v>487</v>
      </c>
      <c r="F52" s="29"/>
    </row>
    <row r="53" spans="1:6" x14ac:dyDescent="0.25">
      <c r="A53" t="s">
        <v>480</v>
      </c>
      <c r="B53" t="s">
        <v>10</v>
      </c>
      <c r="C53" s="4" t="s">
        <v>487</v>
      </c>
      <c r="D53" s="4" t="s">
        <v>413</v>
      </c>
      <c r="E53" s="4" t="s">
        <v>487</v>
      </c>
      <c r="F53" s="29"/>
    </row>
    <row r="54" spans="1:6" x14ac:dyDescent="0.25">
      <c r="A54" t="s">
        <v>480</v>
      </c>
      <c r="B54" t="s">
        <v>10</v>
      </c>
      <c r="C54" s="4">
        <v>11</v>
      </c>
      <c r="D54" s="4" t="s">
        <v>331</v>
      </c>
      <c r="E54" s="4" t="s">
        <v>487</v>
      </c>
      <c r="F54" s="29">
        <v>0.2</v>
      </c>
    </row>
    <row r="55" spans="1:6" x14ac:dyDescent="0.25">
      <c r="A55" t="s">
        <v>480</v>
      </c>
      <c r="B55" t="s">
        <v>10</v>
      </c>
      <c r="C55" s="4" t="s">
        <v>487</v>
      </c>
      <c r="D55" s="4" t="s">
        <v>332</v>
      </c>
      <c r="E55" s="4" t="s">
        <v>36</v>
      </c>
      <c r="F55" s="29"/>
    </row>
    <row r="56" spans="1:6" x14ac:dyDescent="0.25">
      <c r="A56" t="s">
        <v>480</v>
      </c>
      <c r="B56" t="s">
        <v>10</v>
      </c>
      <c r="C56" s="4" t="s">
        <v>487</v>
      </c>
      <c r="D56" s="4" t="s">
        <v>333</v>
      </c>
      <c r="E56" s="4" t="s">
        <v>487</v>
      </c>
      <c r="F56" s="29"/>
    </row>
    <row r="57" spans="1:6" x14ac:dyDescent="0.25">
      <c r="A57" t="s">
        <v>480</v>
      </c>
      <c r="B57" t="s">
        <v>10</v>
      </c>
      <c r="C57" s="4" t="s">
        <v>487</v>
      </c>
      <c r="D57" s="4" t="s">
        <v>334</v>
      </c>
      <c r="E57" s="4" t="s">
        <v>487</v>
      </c>
      <c r="F57" s="29"/>
    </row>
    <row r="58" spans="1:6" x14ac:dyDescent="0.25">
      <c r="A58" t="s">
        <v>480</v>
      </c>
      <c r="B58" t="s">
        <v>10</v>
      </c>
      <c r="C58" s="4" t="s">
        <v>487</v>
      </c>
      <c r="D58" s="4" t="s">
        <v>335</v>
      </c>
      <c r="E58" s="4" t="s">
        <v>487</v>
      </c>
      <c r="F58" s="29"/>
    </row>
    <row r="59" spans="1:6" x14ac:dyDescent="0.25">
      <c r="A59" t="s">
        <v>480</v>
      </c>
      <c r="B59" t="s">
        <v>10</v>
      </c>
      <c r="C59" s="4">
        <v>12</v>
      </c>
      <c r="D59" s="4" t="s">
        <v>348</v>
      </c>
      <c r="E59" s="4" t="s">
        <v>487</v>
      </c>
      <c r="F59" s="29">
        <v>0.2</v>
      </c>
    </row>
    <row r="60" spans="1:6" x14ac:dyDescent="0.25">
      <c r="A60" t="s">
        <v>480</v>
      </c>
      <c r="B60" t="s">
        <v>10</v>
      </c>
      <c r="C60" s="4" t="s">
        <v>487</v>
      </c>
      <c r="D60" s="4" t="s">
        <v>39</v>
      </c>
      <c r="E60" s="4" t="s">
        <v>487</v>
      </c>
      <c r="F60" s="29"/>
    </row>
    <row r="61" spans="1:6" x14ac:dyDescent="0.25">
      <c r="A61" t="s">
        <v>480</v>
      </c>
      <c r="B61" t="s">
        <v>10</v>
      </c>
      <c r="C61" s="4" t="s">
        <v>487</v>
      </c>
      <c r="D61" s="4" t="s">
        <v>40</v>
      </c>
      <c r="E61" s="4" t="s">
        <v>9</v>
      </c>
      <c r="F61" s="29"/>
    </row>
    <row r="62" spans="1:6" x14ac:dyDescent="0.25">
      <c r="A62" t="s">
        <v>480</v>
      </c>
      <c r="B62" t="s">
        <v>10</v>
      </c>
      <c r="C62" s="4" t="s">
        <v>487</v>
      </c>
      <c r="D62" s="4" t="s">
        <v>41</v>
      </c>
      <c r="E62" s="4" t="s">
        <v>487</v>
      </c>
      <c r="F62" s="29"/>
    </row>
    <row r="63" spans="1:6" x14ac:dyDescent="0.25">
      <c r="A63" t="s">
        <v>480</v>
      </c>
      <c r="B63" t="s">
        <v>10</v>
      </c>
      <c r="C63" s="4" t="s">
        <v>487</v>
      </c>
      <c r="D63" s="4" t="s">
        <v>42</v>
      </c>
      <c r="E63" s="4" t="s">
        <v>487</v>
      </c>
      <c r="F63" s="29"/>
    </row>
    <row r="64" spans="1:6" x14ac:dyDescent="0.25">
      <c r="A64" t="s">
        <v>480</v>
      </c>
      <c r="B64" t="s">
        <v>10</v>
      </c>
      <c r="C64" s="4">
        <v>13</v>
      </c>
      <c r="D64" s="4" t="s">
        <v>289</v>
      </c>
      <c r="E64" s="4" t="s">
        <v>487</v>
      </c>
      <c r="F64" s="29">
        <v>0.2</v>
      </c>
    </row>
    <row r="65" spans="1:6" x14ac:dyDescent="0.25">
      <c r="A65" t="s">
        <v>480</v>
      </c>
      <c r="B65" t="s">
        <v>10</v>
      </c>
      <c r="C65" s="4" t="s">
        <v>487</v>
      </c>
      <c r="D65" s="4" t="s">
        <v>290</v>
      </c>
      <c r="E65" s="4" t="s">
        <v>36</v>
      </c>
      <c r="F65" s="29"/>
    </row>
    <row r="66" spans="1:6" x14ac:dyDescent="0.25">
      <c r="A66" t="s">
        <v>480</v>
      </c>
      <c r="B66" t="s">
        <v>10</v>
      </c>
      <c r="C66" s="4" t="s">
        <v>487</v>
      </c>
      <c r="D66" s="4" t="s">
        <v>291</v>
      </c>
      <c r="E66" s="4" t="s">
        <v>487</v>
      </c>
      <c r="F66" s="29"/>
    </row>
    <row r="67" spans="1:6" x14ac:dyDescent="0.25">
      <c r="A67" t="s">
        <v>480</v>
      </c>
      <c r="B67" t="s">
        <v>10</v>
      </c>
      <c r="C67" s="4" t="s">
        <v>487</v>
      </c>
      <c r="D67" s="4" t="s">
        <v>292</v>
      </c>
      <c r="E67" s="4" t="s">
        <v>487</v>
      </c>
      <c r="F67" s="29"/>
    </row>
    <row r="68" spans="1:6" x14ac:dyDescent="0.25">
      <c r="A68" t="s">
        <v>480</v>
      </c>
      <c r="B68" t="s">
        <v>10</v>
      </c>
      <c r="C68" s="4" t="s">
        <v>487</v>
      </c>
      <c r="D68" s="4" t="s">
        <v>293</v>
      </c>
      <c r="E68" s="4" t="s">
        <v>487</v>
      </c>
      <c r="F68" s="29"/>
    </row>
    <row r="69" spans="1:6" x14ac:dyDescent="0.25">
      <c r="C69" s="4"/>
      <c r="D69" s="28" t="s">
        <v>489</v>
      </c>
      <c r="E69" s="4"/>
      <c r="F69" s="29"/>
    </row>
    <row r="70" spans="1:6" x14ac:dyDescent="0.25">
      <c r="A70" t="s">
        <v>480</v>
      </c>
      <c r="B70" t="s">
        <v>51</v>
      </c>
      <c r="C70" s="4">
        <v>1</v>
      </c>
      <c r="D70" s="4" t="s">
        <v>294</v>
      </c>
      <c r="E70" s="4" t="s">
        <v>487</v>
      </c>
      <c r="F70" s="29">
        <v>0.2</v>
      </c>
    </row>
    <row r="71" spans="1:6" x14ac:dyDescent="0.25">
      <c r="A71" t="s">
        <v>480</v>
      </c>
      <c r="B71" t="s">
        <v>51</v>
      </c>
      <c r="C71" s="4" t="s">
        <v>487</v>
      </c>
      <c r="D71" s="4" t="s">
        <v>295</v>
      </c>
      <c r="E71" s="4" t="s">
        <v>487</v>
      </c>
      <c r="F71" s="29"/>
    </row>
    <row r="72" spans="1:6" x14ac:dyDescent="0.25">
      <c r="A72" t="s">
        <v>480</v>
      </c>
      <c r="B72" t="s">
        <v>51</v>
      </c>
      <c r="C72" s="4" t="s">
        <v>487</v>
      </c>
      <c r="D72" s="4" t="s">
        <v>296</v>
      </c>
      <c r="E72" s="4" t="s">
        <v>487</v>
      </c>
      <c r="F72" s="29"/>
    </row>
    <row r="73" spans="1:6" x14ac:dyDescent="0.25">
      <c r="A73" t="s">
        <v>480</v>
      </c>
      <c r="B73" t="s">
        <v>51</v>
      </c>
      <c r="C73" s="4" t="s">
        <v>487</v>
      </c>
      <c r="D73" s="4" t="s">
        <v>297</v>
      </c>
      <c r="E73" s="4" t="s">
        <v>17</v>
      </c>
      <c r="F73" s="29"/>
    </row>
    <row r="74" spans="1:6" x14ac:dyDescent="0.25">
      <c r="A74" t="s">
        <v>480</v>
      </c>
      <c r="B74" t="s">
        <v>51</v>
      </c>
      <c r="C74" s="4" t="s">
        <v>487</v>
      </c>
      <c r="D74" s="4" t="s">
        <v>298</v>
      </c>
      <c r="E74" s="4" t="s">
        <v>487</v>
      </c>
      <c r="F74" s="29"/>
    </row>
    <row r="75" spans="1:6" x14ac:dyDescent="0.25">
      <c r="A75" t="s">
        <v>480</v>
      </c>
      <c r="B75" t="s">
        <v>51</v>
      </c>
      <c r="C75" s="4">
        <v>2</v>
      </c>
      <c r="D75" s="4" t="s">
        <v>294</v>
      </c>
      <c r="E75" s="4" t="s">
        <v>487</v>
      </c>
      <c r="F75" s="29">
        <v>0.2</v>
      </c>
    </row>
    <row r="76" spans="1:6" x14ac:dyDescent="0.25">
      <c r="A76" t="s">
        <v>480</v>
      </c>
      <c r="B76" t="s">
        <v>51</v>
      </c>
      <c r="C76" s="4" t="s">
        <v>487</v>
      </c>
      <c r="D76" s="4" t="s">
        <v>299</v>
      </c>
      <c r="E76" s="4" t="s">
        <v>36</v>
      </c>
      <c r="F76" s="29"/>
    </row>
    <row r="77" spans="1:6" x14ac:dyDescent="0.25">
      <c r="A77" t="s">
        <v>480</v>
      </c>
      <c r="B77" t="s">
        <v>51</v>
      </c>
      <c r="C77" s="4" t="s">
        <v>487</v>
      </c>
      <c r="D77" s="4" t="s">
        <v>300</v>
      </c>
      <c r="E77" s="4" t="s">
        <v>487</v>
      </c>
      <c r="F77" s="29"/>
    </row>
    <row r="78" spans="1:6" x14ac:dyDescent="0.25">
      <c r="A78" t="s">
        <v>480</v>
      </c>
      <c r="B78" t="s">
        <v>51</v>
      </c>
      <c r="C78" s="4" t="s">
        <v>487</v>
      </c>
      <c r="D78" s="4" t="s">
        <v>301</v>
      </c>
      <c r="E78" s="4" t="s">
        <v>487</v>
      </c>
      <c r="F78" s="29"/>
    </row>
    <row r="79" spans="1:6" x14ac:dyDescent="0.25">
      <c r="A79" t="s">
        <v>480</v>
      </c>
      <c r="B79" t="s">
        <v>51</v>
      </c>
      <c r="C79" s="4" t="s">
        <v>487</v>
      </c>
      <c r="D79" s="4" t="s">
        <v>302</v>
      </c>
      <c r="E79" s="4" t="s">
        <v>487</v>
      </c>
      <c r="F79" s="29"/>
    </row>
    <row r="80" spans="1:6" x14ac:dyDescent="0.25">
      <c r="A80" t="s">
        <v>480</v>
      </c>
      <c r="B80" t="s">
        <v>51</v>
      </c>
      <c r="C80" s="4">
        <v>3</v>
      </c>
      <c r="D80" s="4" t="s">
        <v>284</v>
      </c>
      <c r="E80" s="4" t="s">
        <v>487</v>
      </c>
      <c r="F80" s="29">
        <v>0.2</v>
      </c>
    </row>
    <row r="81" spans="1:6" x14ac:dyDescent="0.25">
      <c r="A81" t="s">
        <v>480</v>
      </c>
      <c r="B81" t="s">
        <v>51</v>
      </c>
      <c r="C81" s="4" t="s">
        <v>487</v>
      </c>
      <c r="D81" s="4" t="s">
        <v>286</v>
      </c>
      <c r="E81" s="4" t="s">
        <v>487</v>
      </c>
      <c r="F81" s="29"/>
    </row>
    <row r="82" spans="1:6" x14ac:dyDescent="0.25">
      <c r="A82" t="s">
        <v>480</v>
      </c>
      <c r="B82" t="s">
        <v>51</v>
      </c>
      <c r="C82" s="4" t="s">
        <v>487</v>
      </c>
      <c r="D82" s="4" t="s">
        <v>287</v>
      </c>
      <c r="E82" s="4" t="s">
        <v>487</v>
      </c>
      <c r="F82" s="29"/>
    </row>
    <row r="83" spans="1:6" x14ac:dyDescent="0.25">
      <c r="A83" t="s">
        <v>480</v>
      </c>
      <c r="B83" t="s">
        <v>51</v>
      </c>
      <c r="C83" s="4" t="s">
        <v>487</v>
      </c>
      <c r="D83" s="4" t="s">
        <v>285</v>
      </c>
      <c r="E83" s="4" t="s">
        <v>17</v>
      </c>
      <c r="F83" s="29"/>
    </row>
    <row r="84" spans="1:6" x14ac:dyDescent="0.25">
      <c r="A84" t="s">
        <v>480</v>
      </c>
      <c r="B84" t="s">
        <v>51</v>
      </c>
      <c r="C84" s="4" t="s">
        <v>487</v>
      </c>
      <c r="D84" s="4" t="s">
        <v>288</v>
      </c>
      <c r="E84" s="4" t="s">
        <v>487</v>
      </c>
      <c r="F84" s="29"/>
    </row>
    <row r="85" spans="1:6" x14ac:dyDescent="0.25">
      <c r="A85" t="s">
        <v>480</v>
      </c>
      <c r="B85" t="s">
        <v>51</v>
      </c>
      <c r="C85" s="4">
        <v>4</v>
      </c>
      <c r="D85" s="4" t="s">
        <v>393</v>
      </c>
      <c r="E85" s="4" t="s">
        <v>487</v>
      </c>
      <c r="F85" s="29">
        <v>0.2</v>
      </c>
    </row>
    <row r="86" spans="1:6" x14ac:dyDescent="0.25">
      <c r="A86" t="s">
        <v>480</v>
      </c>
      <c r="B86" t="s">
        <v>51</v>
      </c>
      <c r="C86" s="4" t="s">
        <v>487</v>
      </c>
      <c r="D86" s="4" t="s">
        <v>169</v>
      </c>
      <c r="E86" s="4" t="s">
        <v>36</v>
      </c>
      <c r="F86" s="29"/>
    </row>
    <row r="87" spans="1:6" x14ac:dyDescent="0.25">
      <c r="A87" t="s">
        <v>480</v>
      </c>
      <c r="B87" t="s">
        <v>51</v>
      </c>
      <c r="C87" s="4" t="s">
        <v>487</v>
      </c>
      <c r="D87" s="4" t="s">
        <v>170</v>
      </c>
      <c r="E87" s="4" t="s">
        <v>487</v>
      </c>
      <c r="F87" s="29"/>
    </row>
    <row r="88" spans="1:6" x14ac:dyDescent="0.25">
      <c r="A88" t="s">
        <v>480</v>
      </c>
      <c r="B88" t="s">
        <v>51</v>
      </c>
      <c r="C88" s="4" t="s">
        <v>487</v>
      </c>
      <c r="D88" s="4" t="s">
        <v>171</v>
      </c>
      <c r="E88" s="4" t="s">
        <v>487</v>
      </c>
      <c r="F88" s="29"/>
    </row>
    <row r="89" spans="1:6" x14ac:dyDescent="0.25">
      <c r="A89" t="s">
        <v>480</v>
      </c>
      <c r="B89" t="s">
        <v>51</v>
      </c>
      <c r="C89" s="4" t="s">
        <v>487</v>
      </c>
      <c r="D89" s="4" t="s">
        <v>172</v>
      </c>
      <c r="E89" s="4" t="s">
        <v>487</v>
      </c>
      <c r="F89" s="29"/>
    </row>
    <row r="90" spans="1:6" x14ac:dyDescent="0.25">
      <c r="A90" t="s">
        <v>480</v>
      </c>
      <c r="B90" t="s">
        <v>51</v>
      </c>
      <c r="C90" s="4">
        <v>5</v>
      </c>
      <c r="D90" s="4" t="s">
        <v>62</v>
      </c>
      <c r="E90" s="4" t="s">
        <v>487</v>
      </c>
      <c r="F90" s="29">
        <v>0.2</v>
      </c>
    </row>
    <row r="91" spans="1:6" x14ac:dyDescent="0.25">
      <c r="A91" t="s">
        <v>480</v>
      </c>
      <c r="B91" t="s">
        <v>51</v>
      </c>
      <c r="C91" s="4" t="s">
        <v>487</v>
      </c>
      <c r="D91" s="4" t="s">
        <v>63</v>
      </c>
      <c r="E91" s="4" t="s">
        <v>487</v>
      </c>
      <c r="F91" s="29"/>
    </row>
    <row r="92" spans="1:6" x14ac:dyDescent="0.25">
      <c r="A92" t="s">
        <v>480</v>
      </c>
      <c r="B92" t="s">
        <v>51</v>
      </c>
      <c r="C92" s="4" t="s">
        <v>487</v>
      </c>
      <c r="D92" s="4" t="s">
        <v>64</v>
      </c>
      <c r="E92" s="4" t="s">
        <v>9</v>
      </c>
      <c r="F92" s="29"/>
    </row>
    <row r="93" spans="1:6" x14ac:dyDescent="0.25">
      <c r="A93" t="s">
        <v>480</v>
      </c>
      <c r="B93" t="s">
        <v>51</v>
      </c>
      <c r="C93" s="4" t="s">
        <v>487</v>
      </c>
      <c r="D93" s="4" t="s">
        <v>65</v>
      </c>
      <c r="E93" s="4" t="s">
        <v>487</v>
      </c>
      <c r="F93" s="29"/>
    </row>
    <row r="94" spans="1:6" x14ac:dyDescent="0.25">
      <c r="A94" t="s">
        <v>480</v>
      </c>
      <c r="B94" t="s">
        <v>51</v>
      </c>
      <c r="C94" s="4" t="s">
        <v>487</v>
      </c>
      <c r="D94" s="4" t="s">
        <v>66</v>
      </c>
      <c r="E94" s="4" t="s">
        <v>487</v>
      </c>
      <c r="F94" s="29"/>
    </row>
    <row r="95" spans="1:6" x14ac:dyDescent="0.25">
      <c r="A95" t="s">
        <v>480</v>
      </c>
      <c r="B95" t="s">
        <v>51</v>
      </c>
      <c r="C95" s="4">
        <v>6</v>
      </c>
      <c r="D95" s="4" t="s">
        <v>57</v>
      </c>
      <c r="E95" s="4" t="s">
        <v>487</v>
      </c>
      <c r="F95" s="29">
        <v>0.2</v>
      </c>
    </row>
    <row r="96" spans="1:6" x14ac:dyDescent="0.25">
      <c r="A96" t="s">
        <v>480</v>
      </c>
      <c r="B96" t="s">
        <v>51</v>
      </c>
      <c r="C96" s="4" t="s">
        <v>487</v>
      </c>
      <c r="D96" s="4" t="s">
        <v>58</v>
      </c>
      <c r="E96" s="4" t="s">
        <v>487</v>
      </c>
      <c r="F96" s="29"/>
    </row>
    <row r="97" spans="1:6" x14ac:dyDescent="0.25">
      <c r="A97" t="s">
        <v>480</v>
      </c>
      <c r="B97" t="s">
        <v>51</v>
      </c>
      <c r="C97" s="4" t="s">
        <v>487</v>
      </c>
      <c r="D97" s="4" t="s">
        <v>59</v>
      </c>
      <c r="E97" s="4" t="s">
        <v>9</v>
      </c>
      <c r="F97" s="29"/>
    </row>
    <row r="98" spans="1:6" x14ac:dyDescent="0.25">
      <c r="A98" t="s">
        <v>480</v>
      </c>
      <c r="B98" t="s">
        <v>51</v>
      </c>
      <c r="C98" s="4" t="s">
        <v>487</v>
      </c>
      <c r="D98" s="4" t="s">
        <v>60</v>
      </c>
      <c r="E98" s="4" t="s">
        <v>487</v>
      </c>
      <c r="F98" s="29"/>
    </row>
    <row r="99" spans="1:6" x14ac:dyDescent="0.25">
      <c r="A99" t="s">
        <v>480</v>
      </c>
      <c r="B99" t="s">
        <v>51</v>
      </c>
      <c r="C99" s="4" t="s">
        <v>487</v>
      </c>
      <c r="D99" s="4" t="s">
        <v>61</v>
      </c>
      <c r="E99" s="4" t="s">
        <v>487</v>
      </c>
      <c r="F99" s="29"/>
    </row>
    <row r="100" spans="1:6" x14ac:dyDescent="0.25">
      <c r="A100" t="s">
        <v>480</v>
      </c>
      <c r="B100" t="s">
        <v>51</v>
      </c>
      <c r="C100" s="4">
        <v>7</v>
      </c>
      <c r="D100" s="4" t="s">
        <v>68</v>
      </c>
      <c r="E100" s="4" t="s">
        <v>487</v>
      </c>
      <c r="F100" s="29">
        <v>0.2</v>
      </c>
    </row>
    <row r="101" spans="1:6" x14ac:dyDescent="0.25">
      <c r="A101" t="s">
        <v>480</v>
      </c>
      <c r="B101" t="s">
        <v>51</v>
      </c>
      <c r="C101" s="4" t="s">
        <v>487</v>
      </c>
      <c r="D101" s="4" t="s">
        <v>69</v>
      </c>
      <c r="E101" s="4" t="s">
        <v>36</v>
      </c>
      <c r="F101" s="29"/>
    </row>
    <row r="102" spans="1:6" x14ac:dyDescent="0.25">
      <c r="A102" t="s">
        <v>480</v>
      </c>
      <c r="B102" t="s">
        <v>51</v>
      </c>
      <c r="C102" s="4" t="s">
        <v>487</v>
      </c>
      <c r="D102" s="4" t="s">
        <v>70</v>
      </c>
      <c r="E102" s="4" t="s">
        <v>487</v>
      </c>
      <c r="F102" s="29"/>
    </row>
    <row r="103" spans="1:6" x14ac:dyDescent="0.25">
      <c r="A103" t="s">
        <v>480</v>
      </c>
      <c r="B103" t="s">
        <v>51</v>
      </c>
      <c r="C103" s="4" t="s">
        <v>487</v>
      </c>
      <c r="D103" s="4" t="s">
        <v>71</v>
      </c>
      <c r="E103" s="4" t="s">
        <v>487</v>
      </c>
      <c r="F103" s="29"/>
    </row>
    <row r="104" spans="1:6" x14ac:dyDescent="0.25">
      <c r="A104" t="s">
        <v>480</v>
      </c>
      <c r="B104" t="s">
        <v>51</v>
      </c>
      <c r="C104" s="4" t="s">
        <v>487</v>
      </c>
      <c r="D104" s="4" t="s">
        <v>72</v>
      </c>
      <c r="E104" s="4" t="s">
        <v>487</v>
      </c>
      <c r="F104" s="29"/>
    </row>
    <row r="105" spans="1:6" x14ac:dyDescent="0.25">
      <c r="A105" t="s">
        <v>480</v>
      </c>
      <c r="B105" t="s">
        <v>51</v>
      </c>
      <c r="C105" s="4">
        <v>8</v>
      </c>
      <c r="D105" s="4" t="s">
        <v>326</v>
      </c>
      <c r="E105" s="4" t="s">
        <v>487</v>
      </c>
      <c r="F105" s="29">
        <v>0.2</v>
      </c>
    </row>
    <row r="106" spans="1:6" x14ac:dyDescent="0.25">
      <c r="A106" t="s">
        <v>480</v>
      </c>
      <c r="B106" t="s">
        <v>51</v>
      </c>
      <c r="C106" s="4" t="s">
        <v>487</v>
      </c>
      <c r="D106" s="4" t="s">
        <v>53</v>
      </c>
      <c r="E106" s="4" t="s">
        <v>487</v>
      </c>
      <c r="F106" s="29"/>
    </row>
    <row r="107" spans="1:6" x14ac:dyDescent="0.25">
      <c r="A107" t="s">
        <v>480</v>
      </c>
      <c r="B107" t="s">
        <v>51</v>
      </c>
      <c r="C107" s="4" t="s">
        <v>487</v>
      </c>
      <c r="D107" s="4" t="s">
        <v>54</v>
      </c>
      <c r="E107" s="4" t="s">
        <v>487</v>
      </c>
      <c r="F107" s="29"/>
    </row>
    <row r="108" spans="1:6" x14ac:dyDescent="0.25">
      <c r="A108" t="s">
        <v>480</v>
      </c>
      <c r="B108" t="s">
        <v>51</v>
      </c>
      <c r="C108" s="4" t="s">
        <v>487</v>
      </c>
      <c r="D108" s="4" t="s">
        <v>37</v>
      </c>
      <c r="E108" s="4" t="s">
        <v>17</v>
      </c>
      <c r="F108" s="29"/>
    </row>
    <row r="109" spans="1:6" x14ac:dyDescent="0.25">
      <c r="A109" t="s">
        <v>480</v>
      </c>
      <c r="B109" t="s">
        <v>51</v>
      </c>
      <c r="C109" s="4" t="s">
        <v>487</v>
      </c>
      <c r="D109" s="4" t="s">
        <v>55</v>
      </c>
      <c r="E109" s="4" t="s">
        <v>487</v>
      </c>
      <c r="F109" s="29"/>
    </row>
    <row r="110" spans="1:6" x14ac:dyDescent="0.25">
      <c r="A110" t="s">
        <v>480</v>
      </c>
      <c r="B110" t="s">
        <v>51</v>
      </c>
      <c r="C110" s="4">
        <v>9</v>
      </c>
      <c r="D110" s="4" t="s">
        <v>78</v>
      </c>
      <c r="E110" s="4" t="s">
        <v>487</v>
      </c>
      <c r="F110" s="29">
        <v>0.2</v>
      </c>
    </row>
    <row r="111" spans="1:6" x14ac:dyDescent="0.25">
      <c r="A111" t="s">
        <v>480</v>
      </c>
      <c r="B111" t="s">
        <v>51</v>
      </c>
      <c r="C111" s="4" t="s">
        <v>487</v>
      </c>
      <c r="D111" s="4" t="s">
        <v>79</v>
      </c>
      <c r="E111" s="4" t="s">
        <v>487</v>
      </c>
      <c r="F111" s="29"/>
    </row>
    <row r="112" spans="1:6" x14ac:dyDescent="0.25">
      <c r="A112" t="s">
        <v>480</v>
      </c>
      <c r="B112" t="s">
        <v>51</v>
      </c>
      <c r="C112" s="4" t="s">
        <v>487</v>
      </c>
      <c r="D112" s="4" t="s">
        <v>80</v>
      </c>
      <c r="E112" s="4" t="s">
        <v>9</v>
      </c>
      <c r="F112" s="29"/>
    </row>
    <row r="113" spans="1:6" x14ac:dyDescent="0.25">
      <c r="A113" t="s">
        <v>480</v>
      </c>
      <c r="B113" t="s">
        <v>51</v>
      </c>
      <c r="C113" s="4" t="s">
        <v>487</v>
      </c>
      <c r="D113" s="4" t="s">
        <v>81</v>
      </c>
      <c r="E113" s="4" t="s">
        <v>487</v>
      </c>
      <c r="F113" s="29"/>
    </row>
    <row r="114" spans="1:6" x14ac:dyDescent="0.25">
      <c r="A114" t="s">
        <v>480</v>
      </c>
      <c r="B114" t="s">
        <v>51</v>
      </c>
      <c r="C114" s="4" t="s">
        <v>487</v>
      </c>
      <c r="D114" s="4" t="s">
        <v>82</v>
      </c>
      <c r="E114" s="4" t="s">
        <v>487</v>
      </c>
      <c r="F114" s="29"/>
    </row>
    <row r="115" spans="1:6" x14ac:dyDescent="0.25">
      <c r="A115" t="s">
        <v>480</v>
      </c>
      <c r="B115" t="s">
        <v>51</v>
      </c>
      <c r="C115" s="4">
        <v>10</v>
      </c>
      <c r="D115" s="4" t="s">
        <v>118</v>
      </c>
      <c r="E115" s="4" t="s">
        <v>487</v>
      </c>
      <c r="F115" s="29">
        <v>0.2</v>
      </c>
    </row>
    <row r="116" spans="1:6" x14ac:dyDescent="0.25">
      <c r="A116" t="s">
        <v>480</v>
      </c>
      <c r="B116" t="s">
        <v>51</v>
      </c>
      <c r="C116" s="4" t="s">
        <v>487</v>
      </c>
      <c r="D116" s="4" t="s">
        <v>119</v>
      </c>
      <c r="E116" s="4" t="s">
        <v>36</v>
      </c>
      <c r="F116" s="29"/>
    </row>
    <row r="117" spans="1:6" x14ac:dyDescent="0.25">
      <c r="A117" t="s">
        <v>480</v>
      </c>
      <c r="B117" t="s">
        <v>51</v>
      </c>
      <c r="C117" s="4" t="s">
        <v>487</v>
      </c>
      <c r="D117" s="4" t="s">
        <v>120</v>
      </c>
      <c r="E117" s="4" t="s">
        <v>487</v>
      </c>
      <c r="F117" s="29"/>
    </row>
    <row r="118" spans="1:6" x14ac:dyDescent="0.25">
      <c r="A118" t="s">
        <v>480</v>
      </c>
      <c r="B118" t="s">
        <v>51</v>
      </c>
      <c r="C118" s="4" t="s">
        <v>487</v>
      </c>
      <c r="D118" s="4" t="s">
        <v>121</v>
      </c>
      <c r="E118" s="4" t="s">
        <v>487</v>
      </c>
      <c r="F118" s="29"/>
    </row>
    <row r="119" spans="1:6" x14ac:dyDescent="0.25">
      <c r="A119" t="s">
        <v>480</v>
      </c>
      <c r="B119" t="s">
        <v>51</v>
      </c>
      <c r="C119" s="4" t="s">
        <v>487</v>
      </c>
      <c r="D119" s="4" t="s">
        <v>122</v>
      </c>
      <c r="E119" s="4" t="s">
        <v>487</v>
      </c>
      <c r="F119" s="29"/>
    </row>
    <row r="120" spans="1:6" x14ac:dyDescent="0.25">
      <c r="A120" t="s">
        <v>480</v>
      </c>
      <c r="B120" t="s">
        <v>51</v>
      </c>
      <c r="C120" s="4">
        <v>11</v>
      </c>
      <c r="D120" s="4" t="s">
        <v>186</v>
      </c>
      <c r="E120" s="4" t="s">
        <v>487</v>
      </c>
      <c r="F120" s="29">
        <v>0.2</v>
      </c>
    </row>
    <row r="121" spans="1:6" x14ac:dyDescent="0.25">
      <c r="A121" t="s">
        <v>480</v>
      </c>
      <c r="B121" t="s">
        <v>51</v>
      </c>
      <c r="C121" s="4" t="s">
        <v>487</v>
      </c>
      <c r="D121" s="4" t="s">
        <v>187</v>
      </c>
      <c r="E121" s="4" t="s">
        <v>9</v>
      </c>
      <c r="F121" s="29"/>
    </row>
    <row r="122" spans="1:6" x14ac:dyDescent="0.25">
      <c r="A122" t="s">
        <v>480</v>
      </c>
      <c r="B122" t="s">
        <v>51</v>
      </c>
      <c r="C122" s="4" t="s">
        <v>487</v>
      </c>
      <c r="D122" s="4" t="s">
        <v>188</v>
      </c>
      <c r="E122" s="4" t="s">
        <v>487</v>
      </c>
      <c r="F122" s="29"/>
    </row>
    <row r="123" spans="1:6" x14ac:dyDescent="0.25">
      <c r="A123" t="s">
        <v>480</v>
      </c>
      <c r="B123" t="s">
        <v>51</v>
      </c>
      <c r="C123" s="4" t="s">
        <v>487</v>
      </c>
      <c r="D123" s="4" t="s">
        <v>189</v>
      </c>
      <c r="E123" s="4" t="s">
        <v>487</v>
      </c>
      <c r="F123" s="29"/>
    </row>
    <row r="124" spans="1:6" x14ac:dyDescent="0.25">
      <c r="A124" t="s">
        <v>480</v>
      </c>
      <c r="B124" t="s">
        <v>51</v>
      </c>
      <c r="C124" s="4" t="s">
        <v>487</v>
      </c>
      <c r="D124" s="4" t="s">
        <v>96</v>
      </c>
      <c r="E124" s="4" t="s">
        <v>487</v>
      </c>
      <c r="F124" s="29"/>
    </row>
    <row r="125" spans="1:6" x14ac:dyDescent="0.25">
      <c r="A125" t="s">
        <v>480</v>
      </c>
      <c r="B125" t="s">
        <v>51</v>
      </c>
      <c r="C125" s="4">
        <v>12</v>
      </c>
      <c r="D125" s="4" t="s">
        <v>317</v>
      </c>
      <c r="E125" s="4" t="s">
        <v>487</v>
      </c>
      <c r="F125" s="29">
        <v>0.2</v>
      </c>
    </row>
    <row r="126" spans="1:6" x14ac:dyDescent="0.25">
      <c r="A126" t="s">
        <v>480</v>
      </c>
      <c r="B126" t="s">
        <v>51</v>
      </c>
      <c r="C126" s="4" t="s">
        <v>487</v>
      </c>
      <c r="D126" s="4" t="s">
        <v>318</v>
      </c>
      <c r="E126" s="4" t="s">
        <v>36</v>
      </c>
      <c r="F126" s="29"/>
    </row>
    <row r="127" spans="1:6" x14ac:dyDescent="0.25">
      <c r="A127" t="s">
        <v>480</v>
      </c>
      <c r="B127" t="s">
        <v>51</v>
      </c>
      <c r="C127" s="4" t="s">
        <v>487</v>
      </c>
      <c r="D127" s="4" t="s">
        <v>316</v>
      </c>
      <c r="E127" s="4" t="s">
        <v>487</v>
      </c>
      <c r="F127" s="29"/>
    </row>
    <row r="128" spans="1:6" x14ac:dyDescent="0.25">
      <c r="A128" t="s">
        <v>480</v>
      </c>
      <c r="B128" t="s">
        <v>51</v>
      </c>
      <c r="C128" s="4" t="s">
        <v>487</v>
      </c>
      <c r="D128" s="4" t="s">
        <v>205</v>
      </c>
      <c r="E128" s="4" t="s">
        <v>487</v>
      </c>
      <c r="F128" s="29"/>
    </row>
    <row r="129" spans="1:6" x14ac:dyDescent="0.25">
      <c r="A129" t="s">
        <v>480</v>
      </c>
      <c r="B129" t="s">
        <v>51</v>
      </c>
      <c r="C129" s="4" t="s">
        <v>487</v>
      </c>
      <c r="D129" s="4" t="s">
        <v>124</v>
      </c>
      <c r="E129" s="4" t="s">
        <v>487</v>
      </c>
      <c r="F129" s="29"/>
    </row>
    <row r="130" spans="1:6" x14ac:dyDescent="0.25">
      <c r="A130" t="s">
        <v>480</v>
      </c>
      <c r="B130" t="s">
        <v>51</v>
      </c>
      <c r="C130" s="4">
        <v>13</v>
      </c>
      <c r="D130" s="4" t="s">
        <v>164</v>
      </c>
      <c r="E130" s="4" t="s">
        <v>487</v>
      </c>
      <c r="F130" s="29">
        <v>0.2</v>
      </c>
    </row>
    <row r="131" spans="1:6" x14ac:dyDescent="0.25">
      <c r="A131" t="s">
        <v>480</v>
      </c>
      <c r="B131" t="s">
        <v>51</v>
      </c>
      <c r="C131" s="4" t="s">
        <v>487</v>
      </c>
      <c r="D131" s="4" t="s">
        <v>165</v>
      </c>
      <c r="E131" s="4" t="s">
        <v>36</v>
      </c>
      <c r="F131" s="29"/>
    </row>
    <row r="132" spans="1:6" x14ac:dyDescent="0.25">
      <c r="A132" t="s">
        <v>480</v>
      </c>
      <c r="B132" t="s">
        <v>51</v>
      </c>
      <c r="C132" s="4" t="s">
        <v>487</v>
      </c>
      <c r="D132" s="4" t="s">
        <v>166</v>
      </c>
      <c r="E132" s="4" t="s">
        <v>487</v>
      </c>
      <c r="F132" s="29"/>
    </row>
    <row r="133" spans="1:6" x14ac:dyDescent="0.25">
      <c r="A133" t="s">
        <v>480</v>
      </c>
      <c r="B133" t="s">
        <v>51</v>
      </c>
      <c r="C133" s="4" t="s">
        <v>487</v>
      </c>
      <c r="D133" s="4" t="s">
        <v>167</v>
      </c>
      <c r="E133" s="4" t="s">
        <v>487</v>
      </c>
      <c r="F133" s="29"/>
    </row>
    <row r="134" spans="1:6" x14ac:dyDescent="0.25">
      <c r="A134" t="s">
        <v>480</v>
      </c>
      <c r="B134" t="s">
        <v>51</v>
      </c>
      <c r="C134" s="4" t="s">
        <v>487</v>
      </c>
      <c r="D134" s="4" t="s">
        <v>168</v>
      </c>
      <c r="E134" s="4" t="s">
        <v>487</v>
      </c>
      <c r="F134" s="29"/>
    </row>
    <row r="135" spans="1:6" x14ac:dyDescent="0.25">
      <c r="A135" t="s">
        <v>480</v>
      </c>
      <c r="B135" t="s">
        <v>51</v>
      </c>
      <c r="C135" s="4">
        <v>14</v>
      </c>
      <c r="D135" s="4" t="s">
        <v>73</v>
      </c>
      <c r="E135" s="4" t="s">
        <v>487</v>
      </c>
      <c r="F135" s="29">
        <v>0.2</v>
      </c>
    </row>
    <row r="136" spans="1:6" x14ac:dyDescent="0.25">
      <c r="A136" t="s">
        <v>480</v>
      </c>
      <c r="B136" t="s">
        <v>51</v>
      </c>
      <c r="C136" s="4" t="s">
        <v>487</v>
      </c>
      <c r="D136" s="4" t="s">
        <v>74</v>
      </c>
      <c r="E136" s="4" t="s">
        <v>36</v>
      </c>
      <c r="F136" s="29"/>
    </row>
    <row r="137" spans="1:6" x14ac:dyDescent="0.25">
      <c r="A137" t="s">
        <v>480</v>
      </c>
      <c r="B137" t="s">
        <v>51</v>
      </c>
      <c r="C137" s="4" t="s">
        <v>487</v>
      </c>
      <c r="D137" s="4" t="s">
        <v>75</v>
      </c>
      <c r="E137" s="4" t="s">
        <v>487</v>
      </c>
      <c r="F137" s="29"/>
    </row>
    <row r="138" spans="1:6" x14ac:dyDescent="0.25">
      <c r="A138" t="s">
        <v>480</v>
      </c>
      <c r="B138" t="s">
        <v>51</v>
      </c>
      <c r="C138" s="4" t="s">
        <v>487</v>
      </c>
      <c r="D138" s="4" t="s">
        <v>76</v>
      </c>
      <c r="E138" s="4" t="s">
        <v>487</v>
      </c>
      <c r="F138" s="29"/>
    </row>
    <row r="139" spans="1:6" x14ac:dyDescent="0.25">
      <c r="A139" t="s">
        <v>480</v>
      </c>
      <c r="B139" t="s">
        <v>51</v>
      </c>
      <c r="C139" s="4" t="s">
        <v>487</v>
      </c>
      <c r="D139" s="4" t="s">
        <v>77</v>
      </c>
      <c r="E139" s="4" t="s">
        <v>487</v>
      </c>
      <c r="F139" s="29"/>
    </row>
    <row r="140" spans="1:6" x14ac:dyDescent="0.25">
      <c r="A140" t="s">
        <v>480</v>
      </c>
      <c r="B140" t="s">
        <v>51</v>
      </c>
      <c r="C140" s="4">
        <v>15</v>
      </c>
      <c r="D140" s="4" t="s">
        <v>356</v>
      </c>
      <c r="E140" s="4" t="s">
        <v>487</v>
      </c>
      <c r="F140" s="29">
        <v>0.2</v>
      </c>
    </row>
    <row r="141" spans="1:6" x14ac:dyDescent="0.25">
      <c r="A141" t="s">
        <v>480</v>
      </c>
      <c r="B141" t="s">
        <v>51</v>
      </c>
      <c r="C141" s="4" t="s">
        <v>487</v>
      </c>
      <c r="D141" s="4" t="s">
        <v>157</v>
      </c>
      <c r="E141" s="4" t="s">
        <v>36</v>
      </c>
      <c r="F141" s="29"/>
    </row>
    <row r="142" spans="1:6" x14ac:dyDescent="0.25">
      <c r="A142" t="s">
        <v>480</v>
      </c>
      <c r="B142" t="s">
        <v>51</v>
      </c>
      <c r="C142" s="4" t="s">
        <v>487</v>
      </c>
      <c r="D142" s="4" t="s">
        <v>158</v>
      </c>
      <c r="E142" s="4" t="s">
        <v>487</v>
      </c>
      <c r="F142" s="29"/>
    </row>
    <row r="143" spans="1:6" x14ac:dyDescent="0.25">
      <c r="A143" t="s">
        <v>480</v>
      </c>
      <c r="B143" t="s">
        <v>51</v>
      </c>
      <c r="C143" s="4" t="s">
        <v>487</v>
      </c>
      <c r="D143" s="4" t="s">
        <v>159</v>
      </c>
      <c r="E143" s="4" t="s">
        <v>487</v>
      </c>
      <c r="F143" s="29"/>
    </row>
    <row r="144" spans="1:6" x14ac:dyDescent="0.25">
      <c r="A144" t="s">
        <v>480</v>
      </c>
      <c r="B144" t="s">
        <v>51</v>
      </c>
      <c r="C144" s="4" t="s">
        <v>487</v>
      </c>
      <c r="D144" s="4" t="s">
        <v>160</v>
      </c>
      <c r="E144" s="4" t="s">
        <v>487</v>
      </c>
      <c r="F144" s="29"/>
    </row>
    <row r="145" spans="1:6" x14ac:dyDescent="0.25">
      <c r="A145" t="s">
        <v>480</v>
      </c>
      <c r="B145" t="s">
        <v>346</v>
      </c>
      <c r="C145" s="4">
        <v>16</v>
      </c>
      <c r="D145" s="4" t="s">
        <v>84</v>
      </c>
      <c r="E145" s="4" t="s">
        <v>487</v>
      </c>
      <c r="F145" s="29">
        <v>0.2</v>
      </c>
    </row>
    <row r="146" spans="1:6" x14ac:dyDescent="0.25">
      <c r="A146" t="s">
        <v>480</v>
      </c>
      <c r="B146" t="s">
        <v>346</v>
      </c>
      <c r="C146" s="4" t="s">
        <v>487</v>
      </c>
      <c r="D146" s="4" t="s">
        <v>85</v>
      </c>
      <c r="E146" s="4" t="s">
        <v>487</v>
      </c>
      <c r="F146" s="29"/>
    </row>
    <row r="147" spans="1:6" x14ac:dyDescent="0.25">
      <c r="A147" t="s">
        <v>480</v>
      </c>
      <c r="B147" t="s">
        <v>346</v>
      </c>
      <c r="C147" s="4" t="s">
        <v>487</v>
      </c>
      <c r="D147" s="4" t="s">
        <v>86</v>
      </c>
      <c r="E147" s="4" t="s">
        <v>487</v>
      </c>
      <c r="F147" s="29"/>
    </row>
    <row r="148" spans="1:6" x14ac:dyDescent="0.25">
      <c r="A148" t="s">
        <v>480</v>
      </c>
      <c r="B148" t="s">
        <v>346</v>
      </c>
      <c r="C148" s="4" t="s">
        <v>487</v>
      </c>
      <c r="D148" s="4" t="s">
        <v>87</v>
      </c>
      <c r="E148" s="4" t="s">
        <v>17</v>
      </c>
      <c r="F148" s="29"/>
    </row>
    <row r="149" spans="1:6" x14ac:dyDescent="0.25">
      <c r="A149" t="s">
        <v>480</v>
      </c>
      <c r="B149" t="s">
        <v>346</v>
      </c>
      <c r="C149" s="4" t="s">
        <v>487</v>
      </c>
      <c r="D149" s="4" t="s">
        <v>88</v>
      </c>
      <c r="E149" s="4" t="s">
        <v>487</v>
      </c>
      <c r="F149" s="29"/>
    </row>
    <row r="150" spans="1:6" x14ac:dyDescent="0.25">
      <c r="A150" t="s">
        <v>480</v>
      </c>
      <c r="B150" t="s">
        <v>51</v>
      </c>
      <c r="C150" s="4">
        <v>17</v>
      </c>
      <c r="D150" s="4" t="s">
        <v>382</v>
      </c>
      <c r="E150" s="4" t="s">
        <v>487</v>
      </c>
      <c r="F150" s="29">
        <v>0.2</v>
      </c>
    </row>
    <row r="151" spans="1:6" x14ac:dyDescent="0.25">
      <c r="A151" t="s">
        <v>480</v>
      </c>
      <c r="B151" t="s">
        <v>51</v>
      </c>
      <c r="C151" s="4" t="s">
        <v>487</v>
      </c>
      <c r="D151" s="4" t="s">
        <v>109</v>
      </c>
      <c r="E151" s="4" t="s">
        <v>36</v>
      </c>
      <c r="F151" s="29"/>
    </row>
    <row r="152" spans="1:6" x14ac:dyDescent="0.25">
      <c r="A152" t="s">
        <v>480</v>
      </c>
      <c r="B152" t="s">
        <v>51</v>
      </c>
      <c r="C152" s="4" t="s">
        <v>487</v>
      </c>
      <c r="D152" s="4" t="s">
        <v>110</v>
      </c>
      <c r="E152" s="4" t="s">
        <v>487</v>
      </c>
      <c r="F152" s="29"/>
    </row>
    <row r="153" spans="1:6" x14ac:dyDescent="0.25">
      <c r="A153" t="s">
        <v>480</v>
      </c>
      <c r="B153" t="s">
        <v>51</v>
      </c>
      <c r="C153" s="4" t="s">
        <v>487</v>
      </c>
      <c r="D153" s="4" t="s">
        <v>111</v>
      </c>
      <c r="E153" s="4" t="s">
        <v>487</v>
      </c>
      <c r="F153" s="29"/>
    </row>
    <row r="154" spans="1:6" x14ac:dyDescent="0.25">
      <c r="A154" t="s">
        <v>480</v>
      </c>
      <c r="B154" t="s">
        <v>51</v>
      </c>
      <c r="C154" s="4" t="s">
        <v>487</v>
      </c>
      <c r="D154" s="4" t="s">
        <v>112</v>
      </c>
      <c r="E154" s="4" t="s">
        <v>487</v>
      </c>
      <c r="F154" s="29"/>
    </row>
    <row r="155" spans="1:6" x14ac:dyDescent="0.25">
      <c r="A155" t="s">
        <v>480</v>
      </c>
      <c r="B155" t="s">
        <v>51</v>
      </c>
      <c r="C155" s="4">
        <v>18</v>
      </c>
      <c r="D155" s="4" t="s">
        <v>180</v>
      </c>
      <c r="E155" s="4" t="s">
        <v>487</v>
      </c>
      <c r="F155" s="29">
        <v>0.2</v>
      </c>
    </row>
    <row r="156" spans="1:6" x14ac:dyDescent="0.25">
      <c r="A156" t="s">
        <v>480</v>
      </c>
      <c r="B156" t="s">
        <v>51</v>
      </c>
      <c r="C156" s="4" t="s">
        <v>487</v>
      </c>
      <c r="D156" s="4" t="s">
        <v>181</v>
      </c>
      <c r="E156" s="4" t="s">
        <v>36</v>
      </c>
      <c r="F156" s="29"/>
    </row>
    <row r="157" spans="1:6" x14ac:dyDescent="0.25">
      <c r="A157" t="s">
        <v>480</v>
      </c>
      <c r="B157" t="s">
        <v>51</v>
      </c>
      <c r="C157" s="4" t="s">
        <v>487</v>
      </c>
      <c r="D157" s="4" t="s">
        <v>182</v>
      </c>
      <c r="E157" s="4" t="s">
        <v>487</v>
      </c>
      <c r="F157" s="29"/>
    </row>
    <row r="158" spans="1:6" x14ac:dyDescent="0.25">
      <c r="A158" t="s">
        <v>480</v>
      </c>
      <c r="B158" t="s">
        <v>51</v>
      </c>
      <c r="C158" s="4" t="s">
        <v>487</v>
      </c>
      <c r="D158" s="4" t="s">
        <v>53</v>
      </c>
      <c r="E158" s="4" t="s">
        <v>487</v>
      </c>
      <c r="F158" s="29"/>
    </row>
    <row r="159" spans="1:6" x14ac:dyDescent="0.25">
      <c r="A159" t="s">
        <v>480</v>
      </c>
      <c r="B159" t="s">
        <v>51</v>
      </c>
      <c r="C159" s="4" t="s">
        <v>487</v>
      </c>
      <c r="D159" s="4" t="s">
        <v>14</v>
      </c>
      <c r="E159" s="4" t="s">
        <v>487</v>
      </c>
      <c r="F159" s="29"/>
    </row>
    <row r="160" spans="1:6" x14ac:dyDescent="0.25">
      <c r="A160" t="s">
        <v>480</v>
      </c>
      <c r="B160" t="s">
        <v>51</v>
      </c>
      <c r="C160" s="4">
        <v>19</v>
      </c>
      <c r="D160" s="4" t="s">
        <v>394</v>
      </c>
      <c r="E160" s="4" t="s">
        <v>487</v>
      </c>
      <c r="F160" s="29">
        <v>0.2</v>
      </c>
    </row>
    <row r="161" spans="1:6" x14ac:dyDescent="0.25">
      <c r="A161" t="s">
        <v>480</v>
      </c>
      <c r="B161" t="s">
        <v>51</v>
      </c>
      <c r="C161" s="4" t="s">
        <v>487</v>
      </c>
      <c r="D161" s="4" t="s">
        <v>329</v>
      </c>
      <c r="E161" s="4" t="s">
        <v>487</v>
      </c>
      <c r="F161" s="29"/>
    </row>
    <row r="162" spans="1:6" x14ac:dyDescent="0.25">
      <c r="A162" t="s">
        <v>480</v>
      </c>
      <c r="B162" t="s">
        <v>51</v>
      </c>
      <c r="C162" s="4" t="s">
        <v>487</v>
      </c>
      <c r="D162" s="4" t="s">
        <v>330</v>
      </c>
      <c r="E162" s="4" t="s">
        <v>9</v>
      </c>
      <c r="F162" s="29"/>
    </row>
    <row r="163" spans="1:6" x14ac:dyDescent="0.25">
      <c r="A163" t="s">
        <v>480</v>
      </c>
      <c r="B163" t="s">
        <v>51</v>
      </c>
      <c r="C163" s="4" t="s">
        <v>487</v>
      </c>
      <c r="D163" s="4" t="s">
        <v>111</v>
      </c>
      <c r="E163" s="4" t="s">
        <v>487</v>
      </c>
      <c r="F163" s="29"/>
    </row>
    <row r="164" spans="1:6" x14ac:dyDescent="0.25">
      <c r="A164" t="s">
        <v>480</v>
      </c>
      <c r="B164" t="s">
        <v>51</v>
      </c>
      <c r="C164" s="4" t="s">
        <v>487</v>
      </c>
      <c r="D164" s="4" t="s">
        <v>151</v>
      </c>
      <c r="E164" s="4" t="s">
        <v>487</v>
      </c>
      <c r="F164" s="29"/>
    </row>
    <row r="165" spans="1:6" x14ac:dyDescent="0.25">
      <c r="A165" t="s">
        <v>480</v>
      </c>
      <c r="B165" t="s">
        <v>51</v>
      </c>
      <c r="C165" s="4">
        <v>20</v>
      </c>
      <c r="D165" s="4" t="s">
        <v>114</v>
      </c>
      <c r="E165" s="4" t="s">
        <v>487</v>
      </c>
      <c r="F165" s="29">
        <v>0.2</v>
      </c>
    </row>
    <row r="166" spans="1:6" x14ac:dyDescent="0.25">
      <c r="A166" t="s">
        <v>480</v>
      </c>
      <c r="B166" t="s">
        <v>51</v>
      </c>
      <c r="C166" s="4" t="s">
        <v>487</v>
      </c>
      <c r="D166" s="4" t="s">
        <v>115</v>
      </c>
      <c r="E166" s="4" t="s">
        <v>36</v>
      </c>
      <c r="F166" s="29"/>
    </row>
    <row r="167" spans="1:6" x14ac:dyDescent="0.25">
      <c r="A167" t="s">
        <v>480</v>
      </c>
      <c r="B167" t="s">
        <v>51</v>
      </c>
      <c r="C167" s="4" t="s">
        <v>487</v>
      </c>
      <c r="D167" s="4" t="s">
        <v>14</v>
      </c>
      <c r="E167" s="4" t="s">
        <v>487</v>
      </c>
      <c r="F167" s="29"/>
    </row>
    <row r="168" spans="1:6" x14ac:dyDescent="0.25">
      <c r="A168" t="s">
        <v>480</v>
      </c>
      <c r="B168" t="s">
        <v>51</v>
      </c>
      <c r="C168" s="4" t="s">
        <v>487</v>
      </c>
      <c r="D168" s="4" t="s">
        <v>116</v>
      </c>
      <c r="E168" s="4" t="s">
        <v>487</v>
      </c>
      <c r="F168" s="29"/>
    </row>
    <row r="169" spans="1:6" x14ac:dyDescent="0.25">
      <c r="A169" t="s">
        <v>480</v>
      </c>
      <c r="B169" t="s">
        <v>51</v>
      </c>
      <c r="C169" s="4" t="s">
        <v>487</v>
      </c>
      <c r="D169" s="4" t="s">
        <v>117</v>
      </c>
      <c r="E169" s="4" t="s">
        <v>487</v>
      </c>
      <c r="F169" s="29"/>
    </row>
    <row r="170" spans="1:6" x14ac:dyDescent="0.25">
      <c r="A170" t="s">
        <v>480</v>
      </c>
      <c r="B170" t="s">
        <v>51</v>
      </c>
      <c r="C170" s="4">
        <v>21</v>
      </c>
      <c r="D170" s="4" t="s">
        <v>387</v>
      </c>
      <c r="E170" s="4" t="s">
        <v>487</v>
      </c>
      <c r="F170" s="29">
        <v>0.2</v>
      </c>
    </row>
    <row r="171" spans="1:6" x14ac:dyDescent="0.25">
      <c r="A171" t="s">
        <v>480</v>
      </c>
      <c r="B171" t="s">
        <v>51</v>
      </c>
      <c r="C171" s="4" t="s">
        <v>487</v>
      </c>
      <c r="D171" s="4" t="s">
        <v>389</v>
      </c>
      <c r="E171" s="4" t="s">
        <v>36</v>
      </c>
      <c r="F171" s="29"/>
    </row>
    <row r="172" spans="1:6" x14ac:dyDescent="0.25">
      <c r="A172" t="s">
        <v>480</v>
      </c>
      <c r="B172" t="s">
        <v>51</v>
      </c>
      <c r="C172" s="4" t="s">
        <v>487</v>
      </c>
      <c r="D172" s="4" t="s">
        <v>392</v>
      </c>
      <c r="E172" s="4" t="s">
        <v>487</v>
      </c>
      <c r="F172" s="29"/>
    </row>
    <row r="173" spans="1:6" x14ac:dyDescent="0.25">
      <c r="A173" t="s">
        <v>480</v>
      </c>
      <c r="B173" t="s">
        <v>51</v>
      </c>
      <c r="C173" s="4" t="s">
        <v>487</v>
      </c>
      <c r="D173" s="4" t="s">
        <v>390</v>
      </c>
      <c r="E173" s="4" t="s">
        <v>487</v>
      </c>
      <c r="F173" s="29"/>
    </row>
    <row r="174" spans="1:6" x14ac:dyDescent="0.25">
      <c r="A174" t="s">
        <v>480</v>
      </c>
      <c r="B174" t="s">
        <v>51</v>
      </c>
      <c r="C174" s="4" t="s">
        <v>487</v>
      </c>
      <c r="D174" s="4" t="s">
        <v>391</v>
      </c>
      <c r="E174" s="4" t="s">
        <v>487</v>
      </c>
      <c r="F174" s="29"/>
    </row>
    <row r="175" spans="1:6" x14ac:dyDescent="0.25">
      <c r="A175" t="s">
        <v>480</v>
      </c>
      <c r="B175" t="s">
        <v>51</v>
      </c>
      <c r="C175" s="4">
        <v>22</v>
      </c>
      <c r="D175" s="4" t="s">
        <v>52</v>
      </c>
      <c r="E175" s="4" t="s">
        <v>487</v>
      </c>
      <c r="F175" s="29">
        <v>0.2</v>
      </c>
    </row>
    <row r="176" spans="1:6" x14ac:dyDescent="0.25">
      <c r="A176" t="s">
        <v>480</v>
      </c>
      <c r="B176" t="s">
        <v>51</v>
      </c>
      <c r="C176" s="4" t="s">
        <v>487</v>
      </c>
      <c r="D176" s="4" t="s">
        <v>53</v>
      </c>
      <c r="E176" s="4" t="s">
        <v>487</v>
      </c>
      <c r="F176" s="29"/>
    </row>
    <row r="177" spans="1:6" x14ac:dyDescent="0.25">
      <c r="A177" t="s">
        <v>480</v>
      </c>
      <c r="B177" t="s">
        <v>51</v>
      </c>
      <c r="C177" s="4" t="s">
        <v>487</v>
      </c>
      <c r="D177" s="4" t="s">
        <v>54</v>
      </c>
      <c r="E177" s="4" t="s">
        <v>9</v>
      </c>
      <c r="F177" s="29"/>
    </row>
    <row r="178" spans="1:6" x14ac:dyDescent="0.25">
      <c r="A178" t="s">
        <v>480</v>
      </c>
      <c r="B178" t="s">
        <v>51</v>
      </c>
      <c r="C178" s="4" t="s">
        <v>487</v>
      </c>
      <c r="D178" s="4" t="s">
        <v>55</v>
      </c>
      <c r="E178" s="4" t="s">
        <v>487</v>
      </c>
      <c r="F178" s="29"/>
    </row>
    <row r="179" spans="1:6" x14ac:dyDescent="0.25">
      <c r="A179" t="s">
        <v>480</v>
      </c>
      <c r="B179" t="s">
        <v>51</v>
      </c>
      <c r="C179" s="4" t="s">
        <v>487</v>
      </c>
      <c r="D179" s="4" t="s">
        <v>56</v>
      </c>
      <c r="E179" s="4" t="s">
        <v>487</v>
      </c>
      <c r="F179" s="29"/>
    </row>
    <row r="180" spans="1:6" x14ac:dyDescent="0.25">
      <c r="A180" t="s">
        <v>480</v>
      </c>
      <c r="B180" t="s">
        <v>51</v>
      </c>
      <c r="C180" s="4">
        <v>23</v>
      </c>
      <c r="D180" s="4" t="s">
        <v>325</v>
      </c>
      <c r="E180" s="4" t="s">
        <v>487</v>
      </c>
      <c r="F180" s="29">
        <v>0.2</v>
      </c>
    </row>
    <row r="181" spans="1:6" x14ac:dyDescent="0.25">
      <c r="A181" t="s">
        <v>480</v>
      </c>
      <c r="B181" t="s">
        <v>51</v>
      </c>
      <c r="C181" s="4" t="s">
        <v>487</v>
      </c>
      <c r="D181" s="4" t="s">
        <v>38</v>
      </c>
      <c r="E181" s="4" t="s">
        <v>487</v>
      </c>
      <c r="F181" s="29"/>
    </row>
    <row r="182" spans="1:6" x14ac:dyDescent="0.25">
      <c r="A182" t="s">
        <v>480</v>
      </c>
      <c r="B182" t="s">
        <v>51</v>
      </c>
      <c r="C182" s="4" t="s">
        <v>487</v>
      </c>
      <c r="D182" s="4" t="s">
        <v>327</v>
      </c>
      <c r="E182" s="4" t="s">
        <v>9</v>
      </c>
      <c r="F182" s="29"/>
    </row>
    <row r="183" spans="1:6" x14ac:dyDescent="0.25">
      <c r="A183" t="s">
        <v>480</v>
      </c>
      <c r="B183" t="s">
        <v>51</v>
      </c>
      <c r="C183" s="4" t="s">
        <v>487</v>
      </c>
      <c r="D183" s="4" t="s">
        <v>53</v>
      </c>
      <c r="E183" s="4" t="s">
        <v>487</v>
      </c>
      <c r="F183" s="29"/>
    </row>
    <row r="184" spans="1:6" x14ac:dyDescent="0.25">
      <c r="A184" t="s">
        <v>480</v>
      </c>
      <c r="B184" t="s">
        <v>51</v>
      </c>
      <c r="C184" s="4" t="s">
        <v>487</v>
      </c>
      <c r="D184" s="4" t="s">
        <v>37</v>
      </c>
      <c r="E184" s="4" t="s">
        <v>487</v>
      </c>
      <c r="F184" s="29"/>
    </row>
    <row r="185" spans="1:6" x14ac:dyDescent="0.25">
      <c r="C185" s="4"/>
      <c r="D185" s="28" t="s">
        <v>481</v>
      </c>
      <c r="E185" s="4"/>
      <c r="F185" s="29"/>
    </row>
    <row r="186" spans="1:6" x14ac:dyDescent="0.25">
      <c r="C186" s="4"/>
      <c r="D186" s="28" t="s">
        <v>488</v>
      </c>
      <c r="E186" s="4"/>
      <c r="F186" s="29"/>
    </row>
    <row r="187" spans="1:6" x14ac:dyDescent="0.25">
      <c r="A187" t="s">
        <v>481</v>
      </c>
      <c r="B187" t="s">
        <v>10</v>
      </c>
      <c r="C187" s="4">
        <v>1</v>
      </c>
      <c r="D187" s="4" t="s">
        <v>278</v>
      </c>
      <c r="E187" s="4" t="s">
        <v>487</v>
      </c>
      <c r="F187" s="29">
        <v>0.2</v>
      </c>
    </row>
    <row r="188" spans="1:6" x14ac:dyDescent="0.25">
      <c r="A188" t="s">
        <v>481</v>
      </c>
      <c r="B188" t="s">
        <v>10</v>
      </c>
      <c r="C188" s="4" t="s">
        <v>487</v>
      </c>
      <c r="D188" s="4" t="s">
        <v>279</v>
      </c>
      <c r="E188" s="4" t="s">
        <v>36</v>
      </c>
      <c r="F188" s="29"/>
    </row>
    <row r="189" spans="1:6" x14ac:dyDescent="0.25">
      <c r="A189" t="s">
        <v>481</v>
      </c>
      <c r="B189" t="s">
        <v>10</v>
      </c>
      <c r="C189" s="4" t="s">
        <v>487</v>
      </c>
      <c r="D189" s="4" t="s">
        <v>280</v>
      </c>
      <c r="E189" s="4" t="s">
        <v>487</v>
      </c>
      <c r="F189" s="29"/>
    </row>
    <row r="190" spans="1:6" x14ac:dyDescent="0.25">
      <c r="A190" t="s">
        <v>481</v>
      </c>
      <c r="B190" t="s">
        <v>10</v>
      </c>
      <c r="C190" s="4" t="s">
        <v>487</v>
      </c>
      <c r="D190" s="4" t="s">
        <v>281</v>
      </c>
      <c r="E190" s="4" t="s">
        <v>487</v>
      </c>
      <c r="F190" s="29"/>
    </row>
    <row r="191" spans="1:6" x14ac:dyDescent="0.25">
      <c r="A191" t="s">
        <v>481</v>
      </c>
      <c r="B191" t="s">
        <v>10</v>
      </c>
      <c r="C191" s="4" t="s">
        <v>487</v>
      </c>
      <c r="D191" s="4" t="s">
        <v>282</v>
      </c>
      <c r="E191" s="4" t="s">
        <v>487</v>
      </c>
      <c r="F191" s="29"/>
    </row>
    <row r="192" spans="1:6" x14ac:dyDescent="0.25">
      <c r="A192" t="s">
        <v>481</v>
      </c>
      <c r="B192" t="s">
        <v>10</v>
      </c>
      <c r="C192" s="4">
        <v>2</v>
      </c>
      <c r="D192" s="4" t="s">
        <v>18</v>
      </c>
      <c r="E192" s="4" t="s">
        <v>487</v>
      </c>
      <c r="F192" s="29">
        <v>0.2</v>
      </c>
    </row>
    <row r="193" spans="1:6" x14ac:dyDescent="0.25">
      <c r="A193" t="s">
        <v>481</v>
      </c>
      <c r="B193" t="s">
        <v>10</v>
      </c>
      <c r="C193" s="4" t="s">
        <v>487</v>
      </c>
      <c r="D193" s="4" t="s">
        <v>19</v>
      </c>
      <c r="E193" s="4" t="s">
        <v>487</v>
      </c>
      <c r="F193" s="29"/>
    </row>
    <row r="194" spans="1:6" x14ac:dyDescent="0.25">
      <c r="A194" t="s">
        <v>481</v>
      </c>
      <c r="B194" t="s">
        <v>10</v>
      </c>
      <c r="C194" s="4" t="s">
        <v>487</v>
      </c>
      <c r="D194" s="4" t="s">
        <v>20</v>
      </c>
      <c r="E194" s="4" t="s">
        <v>9</v>
      </c>
      <c r="F194" s="29"/>
    </row>
    <row r="195" spans="1:6" x14ac:dyDescent="0.25">
      <c r="A195" t="s">
        <v>481</v>
      </c>
      <c r="B195" t="s">
        <v>10</v>
      </c>
      <c r="C195" s="4" t="s">
        <v>487</v>
      </c>
      <c r="D195" s="4" t="s">
        <v>21</v>
      </c>
      <c r="E195" s="4" t="s">
        <v>487</v>
      </c>
      <c r="F195" s="29"/>
    </row>
    <row r="196" spans="1:6" x14ac:dyDescent="0.25">
      <c r="A196" t="s">
        <v>481</v>
      </c>
      <c r="B196" t="s">
        <v>10</v>
      </c>
      <c r="C196" s="4" t="s">
        <v>487</v>
      </c>
      <c r="D196" s="4" t="s">
        <v>22</v>
      </c>
      <c r="E196" s="4" t="s">
        <v>487</v>
      </c>
      <c r="F196" s="29"/>
    </row>
    <row r="197" spans="1:6" x14ac:dyDescent="0.25">
      <c r="A197" t="s">
        <v>481</v>
      </c>
      <c r="B197" t="s">
        <v>10</v>
      </c>
      <c r="C197" s="4">
        <v>3</v>
      </c>
      <c r="D197" s="4" t="s">
        <v>12</v>
      </c>
      <c r="E197" s="4" t="s">
        <v>487</v>
      </c>
      <c r="F197" s="29">
        <v>0.2</v>
      </c>
    </row>
    <row r="198" spans="1:6" x14ac:dyDescent="0.25">
      <c r="A198" t="s">
        <v>481</v>
      </c>
      <c r="B198" t="s">
        <v>10</v>
      </c>
      <c r="C198" s="4" t="s">
        <v>487</v>
      </c>
      <c r="D198" s="4" t="s">
        <v>13</v>
      </c>
      <c r="E198" s="4" t="s">
        <v>487</v>
      </c>
      <c r="F198" s="29"/>
    </row>
    <row r="199" spans="1:6" x14ac:dyDescent="0.25">
      <c r="A199" t="s">
        <v>481</v>
      </c>
      <c r="B199" t="s">
        <v>10</v>
      </c>
      <c r="C199" s="4" t="s">
        <v>487</v>
      </c>
      <c r="D199" s="4" t="s">
        <v>14</v>
      </c>
      <c r="E199" s="4" t="s">
        <v>487</v>
      </c>
      <c r="F199" s="29"/>
    </row>
    <row r="200" spans="1:6" x14ac:dyDescent="0.25">
      <c r="A200" t="s">
        <v>481</v>
      </c>
      <c r="B200" t="s">
        <v>10</v>
      </c>
      <c r="C200" s="4" t="s">
        <v>487</v>
      </c>
      <c r="D200" s="4" t="s">
        <v>15</v>
      </c>
      <c r="E200" s="4" t="s">
        <v>17</v>
      </c>
      <c r="F200" s="29"/>
    </row>
    <row r="201" spans="1:6" x14ac:dyDescent="0.25">
      <c r="A201" t="s">
        <v>481</v>
      </c>
      <c r="B201" t="s">
        <v>10</v>
      </c>
      <c r="C201" s="4" t="s">
        <v>487</v>
      </c>
      <c r="D201" s="4" t="s">
        <v>16</v>
      </c>
      <c r="E201" s="4" t="s">
        <v>487</v>
      </c>
      <c r="F201" s="29"/>
    </row>
    <row r="202" spans="1:6" x14ac:dyDescent="0.25">
      <c r="A202" t="s">
        <v>481</v>
      </c>
      <c r="B202" t="s">
        <v>10</v>
      </c>
      <c r="C202" s="4">
        <v>4</v>
      </c>
      <c r="D202" s="4" t="s">
        <v>273</v>
      </c>
      <c r="E202" s="4" t="s">
        <v>487</v>
      </c>
      <c r="F202" s="29">
        <v>0.2</v>
      </c>
    </row>
    <row r="203" spans="1:6" x14ac:dyDescent="0.25">
      <c r="A203" t="s">
        <v>481</v>
      </c>
      <c r="B203" t="s">
        <v>10</v>
      </c>
      <c r="C203" s="4" t="s">
        <v>487</v>
      </c>
      <c r="D203" s="4" t="s">
        <v>274</v>
      </c>
      <c r="E203" s="4" t="s">
        <v>36</v>
      </c>
      <c r="F203" s="29"/>
    </row>
    <row r="204" spans="1:6" x14ac:dyDescent="0.25">
      <c r="A204" t="s">
        <v>481</v>
      </c>
      <c r="B204" t="s">
        <v>10</v>
      </c>
      <c r="C204" s="4" t="s">
        <v>487</v>
      </c>
      <c r="D204" s="4" t="s">
        <v>275</v>
      </c>
      <c r="E204" s="4" t="s">
        <v>487</v>
      </c>
      <c r="F204" s="29"/>
    </row>
    <row r="205" spans="1:6" x14ac:dyDescent="0.25">
      <c r="A205" t="s">
        <v>481</v>
      </c>
      <c r="B205" t="s">
        <v>10</v>
      </c>
      <c r="C205" s="4" t="s">
        <v>487</v>
      </c>
      <c r="D205" s="4" t="s">
        <v>276</v>
      </c>
      <c r="E205" s="4" t="s">
        <v>487</v>
      </c>
      <c r="F205" s="29"/>
    </row>
    <row r="206" spans="1:6" x14ac:dyDescent="0.25">
      <c r="A206" t="s">
        <v>481</v>
      </c>
      <c r="B206" t="s">
        <v>10</v>
      </c>
      <c r="C206" s="4" t="s">
        <v>487</v>
      </c>
      <c r="D206" s="4" t="s">
        <v>277</v>
      </c>
      <c r="E206" s="4" t="s">
        <v>487</v>
      </c>
      <c r="F206" s="29"/>
    </row>
    <row r="207" spans="1:6" x14ac:dyDescent="0.25">
      <c r="C207" s="4"/>
      <c r="D207" s="28" t="s">
        <v>489</v>
      </c>
      <c r="E207" s="4"/>
      <c r="F207" s="29"/>
    </row>
    <row r="208" spans="1:6" x14ac:dyDescent="0.25">
      <c r="A208" t="s">
        <v>481</v>
      </c>
      <c r="B208" t="s">
        <v>51</v>
      </c>
      <c r="C208" s="4">
        <v>1</v>
      </c>
      <c r="D208" s="4" t="s">
        <v>47</v>
      </c>
      <c r="E208" s="4" t="s">
        <v>487</v>
      </c>
      <c r="F208" s="29">
        <v>0.2</v>
      </c>
    </row>
    <row r="209" spans="1:6" x14ac:dyDescent="0.25">
      <c r="A209" t="s">
        <v>481</v>
      </c>
      <c r="B209" t="s">
        <v>51</v>
      </c>
      <c r="C209" s="4" t="s">
        <v>487</v>
      </c>
      <c r="D209" s="4" t="s">
        <v>48</v>
      </c>
      <c r="E209" s="4" t="s">
        <v>487</v>
      </c>
      <c r="F209" s="29"/>
    </row>
    <row r="210" spans="1:6" x14ac:dyDescent="0.25">
      <c r="A210" t="s">
        <v>481</v>
      </c>
      <c r="B210" t="s">
        <v>51</v>
      </c>
      <c r="C210" s="4" t="s">
        <v>487</v>
      </c>
      <c r="D210" s="4" t="s">
        <v>283</v>
      </c>
      <c r="E210" s="4" t="s">
        <v>9</v>
      </c>
      <c r="F210" s="29"/>
    </row>
    <row r="211" spans="1:6" x14ac:dyDescent="0.25">
      <c r="A211" t="s">
        <v>481</v>
      </c>
      <c r="B211" t="s">
        <v>51</v>
      </c>
      <c r="C211" s="4" t="s">
        <v>487</v>
      </c>
      <c r="D211" s="4" t="s">
        <v>49</v>
      </c>
      <c r="E211" s="4" t="s">
        <v>487</v>
      </c>
      <c r="F211" s="29"/>
    </row>
    <row r="212" spans="1:6" x14ac:dyDescent="0.25">
      <c r="A212" t="s">
        <v>481</v>
      </c>
      <c r="B212" t="s">
        <v>51</v>
      </c>
      <c r="C212" s="4" t="s">
        <v>487</v>
      </c>
      <c r="D212" s="4" t="s">
        <v>50</v>
      </c>
      <c r="E212" s="4" t="s">
        <v>487</v>
      </c>
      <c r="F212" s="29"/>
    </row>
    <row r="213" spans="1:6" x14ac:dyDescent="0.25">
      <c r="A213" t="s">
        <v>481</v>
      </c>
      <c r="B213" t="s">
        <v>51</v>
      </c>
      <c r="C213" s="4">
        <v>2</v>
      </c>
      <c r="D213" s="4" t="s">
        <v>99</v>
      </c>
      <c r="E213" s="4" t="s">
        <v>487</v>
      </c>
      <c r="F213" s="29">
        <v>0.2</v>
      </c>
    </row>
    <row r="214" spans="1:6" x14ac:dyDescent="0.25">
      <c r="A214" t="s">
        <v>481</v>
      </c>
      <c r="B214" t="s">
        <v>51</v>
      </c>
      <c r="C214" s="4" t="s">
        <v>487</v>
      </c>
      <c r="D214" s="4" t="s">
        <v>100</v>
      </c>
      <c r="E214" s="4" t="s">
        <v>36</v>
      </c>
      <c r="F214" s="29"/>
    </row>
    <row r="215" spans="1:6" x14ac:dyDescent="0.25">
      <c r="A215" t="s">
        <v>481</v>
      </c>
      <c r="B215" t="s">
        <v>51</v>
      </c>
      <c r="C215" s="4" t="s">
        <v>487</v>
      </c>
      <c r="D215" s="4" t="s">
        <v>101</v>
      </c>
      <c r="E215" s="4" t="s">
        <v>487</v>
      </c>
      <c r="F215" s="29"/>
    </row>
    <row r="216" spans="1:6" x14ac:dyDescent="0.25">
      <c r="A216" t="s">
        <v>481</v>
      </c>
      <c r="B216" t="s">
        <v>51</v>
      </c>
      <c r="C216" s="4" t="s">
        <v>487</v>
      </c>
      <c r="D216" s="4" t="s">
        <v>102</v>
      </c>
      <c r="E216" s="4" t="s">
        <v>487</v>
      </c>
      <c r="F216" s="29"/>
    </row>
    <row r="217" spans="1:6" x14ac:dyDescent="0.25">
      <c r="A217" t="s">
        <v>481</v>
      </c>
      <c r="B217" t="s">
        <v>51</v>
      </c>
      <c r="C217" s="4" t="s">
        <v>487</v>
      </c>
      <c r="D217" s="4" t="s">
        <v>103</v>
      </c>
      <c r="E217" s="4" t="s">
        <v>487</v>
      </c>
      <c r="F217" s="29"/>
    </row>
    <row r="218" spans="1:6" x14ac:dyDescent="0.25">
      <c r="A218" t="s">
        <v>481</v>
      </c>
      <c r="B218" t="s">
        <v>51</v>
      </c>
      <c r="C218" s="4">
        <v>3</v>
      </c>
      <c r="D218" s="4" t="s">
        <v>89</v>
      </c>
      <c r="E218" s="4" t="s">
        <v>487</v>
      </c>
      <c r="F218" s="29">
        <v>0.2</v>
      </c>
    </row>
    <row r="219" spans="1:6" x14ac:dyDescent="0.25">
      <c r="A219" t="s">
        <v>481</v>
      </c>
      <c r="B219" t="s">
        <v>51</v>
      </c>
      <c r="C219" s="4" t="s">
        <v>487</v>
      </c>
      <c r="D219" s="4" t="s">
        <v>90</v>
      </c>
      <c r="E219" s="4" t="s">
        <v>36</v>
      </c>
      <c r="F219" s="29"/>
    </row>
    <row r="220" spans="1:6" x14ac:dyDescent="0.25">
      <c r="A220" t="s">
        <v>481</v>
      </c>
      <c r="B220" t="s">
        <v>51</v>
      </c>
      <c r="C220" s="4" t="s">
        <v>487</v>
      </c>
      <c r="D220" s="4" t="s">
        <v>91</v>
      </c>
      <c r="E220" s="4" t="s">
        <v>487</v>
      </c>
      <c r="F220" s="29"/>
    </row>
    <row r="221" spans="1:6" x14ac:dyDescent="0.25">
      <c r="A221" t="s">
        <v>481</v>
      </c>
      <c r="B221" t="s">
        <v>51</v>
      </c>
      <c r="C221" s="4" t="s">
        <v>487</v>
      </c>
      <c r="D221" s="4" t="s">
        <v>92</v>
      </c>
      <c r="E221" s="4" t="s">
        <v>487</v>
      </c>
      <c r="F221" s="29"/>
    </row>
    <row r="222" spans="1:6" x14ac:dyDescent="0.25">
      <c r="A222" t="s">
        <v>481</v>
      </c>
      <c r="B222" t="s">
        <v>51</v>
      </c>
      <c r="C222" s="4" t="s">
        <v>487</v>
      </c>
      <c r="D222" s="4" t="s">
        <v>93</v>
      </c>
      <c r="E222" s="4" t="s">
        <v>487</v>
      </c>
      <c r="F222" s="29"/>
    </row>
    <row r="223" spans="1:6" x14ac:dyDescent="0.25">
      <c r="A223" t="s">
        <v>481</v>
      </c>
      <c r="B223" t="s">
        <v>51</v>
      </c>
      <c r="C223" s="4">
        <v>4</v>
      </c>
      <c r="D223" s="4" t="s">
        <v>161</v>
      </c>
      <c r="E223" s="4" t="s">
        <v>487</v>
      </c>
      <c r="F223" s="29">
        <v>0.2</v>
      </c>
    </row>
    <row r="224" spans="1:6" x14ac:dyDescent="0.25">
      <c r="A224" t="s">
        <v>481</v>
      </c>
      <c r="B224" t="s">
        <v>51</v>
      </c>
      <c r="C224" s="4" t="s">
        <v>487</v>
      </c>
      <c r="D224" s="4" t="s">
        <v>162</v>
      </c>
      <c r="E224" s="4" t="s">
        <v>9</v>
      </c>
      <c r="F224" s="29"/>
    </row>
    <row r="225" spans="1:6" x14ac:dyDescent="0.25">
      <c r="A225" t="s">
        <v>481</v>
      </c>
      <c r="B225" t="s">
        <v>51</v>
      </c>
      <c r="C225" s="4" t="s">
        <v>487</v>
      </c>
      <c r="D225" s="4" t="s">
        <v>113</v>
      </c>
      <c r="E225" s="4" t="s">
        <v>487</v>
      </c>
      <c r="F225" s="29"/>
    </row>
    <row r="226" spans="1:6" x14ac:dyDescent="0.25">
      <c r="A226" t="s">
        <v>481</v>
      </c>
      <c r="B226" t="s">
        <v>51</v>
      </c>
      <c r="C226" s="4" t="s">
        <v>487</v>
      </c>
      <c r="D226" s="4" t="s">
        <v>163</v>
      </c>
      <c r="E226" s="4" t="s">
        <v>487</v>
      </c>
      <c r="F226" s="29"/>
    </row>
    <row r="227" spans="1:6" x14ac:dyDescent="0.25">
      <c r="A227" t="s">
        <v>481</v>
      </c>
      <c r="B227" t="s">
        <v>51</v>
      </c>
      <c r="C227" s="4" t="s">
        <v>487</v>
      </c>
      <c r="D227" s="4" t="s">
        <v>151</v>
      </c>
      <c r="E227" s="4" t="s">
        <v>487</v>
      </c>
      <c r="F227" s="29"/>
    </row>
    <row r="228" spans="1:6" x14ac:dyDescent="0.25">
      <c r="A228" t="s">
        <v>481</v>
      </c>
      <c r="B228" t="s">
        <v>51</v>
      </c>
      <c r="C228" s="4">
        <v>5</v>
      </c>
      <c r="D228" s="4" t="s">
        <v>94</v>
      </c>
      <c r="E228" s="4" t="s">
        <v>487</v>
      </c>
      <c r="F228" s="29">
        <v>0.2</v>
      </c>
    </row>
    <row r="229" spans="1:6" x14ac:dyDescent="0.25">
      <c r="A229" t="s">
        <v>481</v>
      </c>
      <c r="B229" t="s">
        <v>51</v>
      </c>
      <c r="C229" s="4" t="s">
        <v>487</v>
      </c>
      <c r="D229" s="4" t="s">
        <v>95</v>
      </c>
      <c r="E229" s="4" t="s">
        <v>36</v>
      </c>
      <c r="F229" s="29"/>
    </row>
    <row r="230" spans="1:6" x14ac:dyDescent="0.25">
      <c r="A230" t="s">
        <v>481</v>
      </c>
      <c r="B230" t="s">
        <v>51</v>
      </c>
      <c r="C230" s="4" t="s">
        <v>487</v>
      </c>
      <c r="D230" s="4" t="s">
        <v>96</v>
      </c>
      <c r="E230" s="4" t="s">
        <v>487</v>
      </c>
      <c r="F230" s="29"/>
    </row>
    <row r="231" spans="1:6" x14ac:dyDescent="0.25">
      <c r="A231" t="s">
        <v>481</v>
      </c>
      <c r="B231" t="s">
        <v>51</v>
      </c>
      <c r="C231" s="4" t="s">
        <v>487</v>
      </c>
      <c r="D231" s="4" t="s">
        <v>97</v>
      </c>
      <c r="E231" s="4" t="s">
        <v>487</v>
      </c>
      <c r="F231" s="29"/>
    </row>
    <row r="232" spans="1:6" x14ac:dyDescent="0.25">
      <c r="A232" t="s">
        <v>481</v>
      </c>
      <c r="B232" t="s">
        <v>51</v>
      </c>
      <c r="C232" s="4" t="s">
        <v>487</v>
      </c>
      <c r="D232" s="4" t="s">
        <v>98</v>
      </c>
      <c r="E232" s="4" t="s">
        <v>487</v>
      </c>
      <c r="F232" s="29"/>
    </row>
    <row r="233" spans="1:6" x14ac:dyDescent="0.25">
      <c r="A233" t="s">
        <v>481</v>
      </c>
      <c r="B233" t="s">
        <v>51</v>
      </c>
      <c r="C233" s="4">
        <v>6</v>
      </c>
      <c r="D233" s="4" t="s">
        <v>342</v>
      </c>
      <c r="E233" s="4" t="s">
        <v>487</v>
      </c>
      <c r="F233" s="29">
        <v>0.2</v>
      </c>
    </row>
    <row r="234" spans="1:6" x14ac:dyDescent="0.25">
      <c r="A234" t="s">
        <v>481</v>
      </c>
      <c r="B234" t="s">
        <v>51</v>
      </c>
      <c r="C234" s="4" t="s">
        <v>487</v>
      </c>
      <c r="D234" s="4" t="s">
        <v>19</v>
      </c>
      <c r="E234" s="4" t="s">
        <v>487</v>
      </c>
      <c r="F234" s="29"/>
    </row>
    <row r="235" spans="1:6" x14ac:dyDescent="0.25">
      <c r="A235" t="s">
        <v>481</v>
      </c>
      <c r="B235" t="s">
        <v>51</v>
      </c>
      <c r="C235" s="4" t="s">
        <v>487</v>
      </c>
      <c r="D235" s="4" t="s">
        <v>83</v>
      </c>
      <c r="E235" s="4" t="s">
        <v>9</v>
      </c>
      <c r="F235" s="29"/>
    </row>
    <row r="236" spans="1:6" x14ac:dyDescent="0.25">
      <c r="A236" t="s">
        <v>481</v>
      </c>
      <c r="B236" t="s">
        <v>51</v>
      </c>
      <c r="C236" s="4" t="s">
        <v>487</v>
      </c>
      <c r="D236" s="4" t="s">
        <v>20</v>
      </c>
      <c r="E236" s="4" t="s">
        <v>487</v>
      </c>
      <c r="F236" s="29"/>
    </row>
    <row r="237" spans="1:6" x14ac:dyDescent="0.25">
      <c r="A237" t="s">
        <v>481</v>
      </c>
      <c r="B237" t="s">
        <v>51</v>
      </c>
      <c r="C237" s="4" t="s">
        <v>487</v>
      </c>
      <c r="D237" s="4" t="s">
        <v>22</v>
      </c>
      <c r="E237" s="4" t="s">
        <v>487</v>
      </c>
      <c r="F237" s="29"/>
    </row>
    <row r="238" spans="1:6" x14ac:dyDescent="0.25">
      <c r="A238" t="s">
        <v>481</v>
      </c>
      <c r="B238" t="s">
        <v>51</v>
      </c>
      <c r="C238" s="4">
        <v>7</v>
      </c>
      <c r="D238" s="4" t="s">
        <v>104</v>
      </c>
      <c r="E238" s="4" t="s">
        <v>487</v>
      </c>
      <c r="F238" s="29">
        <v>0.2</v>
      </c>
    </row>
    <row r="239" spans="1:6" x14ac:dyDescent="0.25">
      <c r="A239" t="s">
        <v>481</v>
      </c>
      <c r="B239" t="s">
        <v>51</v>
      </c>
      <c r="C239" s="4" t="s">
        <v>487</v>
      </c>
      <c r="D239" s="4" t="s">
        <v>105</v>
      </c>
      <c r="E239" s="4" t="s">
        <v>36</v>
      </c>
      <c r="F239" s="29"/>
    </row>
    <row r="240" spans="1:6" x14ac:dyDescent="0.25">
      <c r="A240" t="s">
        <v>481</v>
      </c>
      <c r="B240" t="s">
        <v>51</v>
      </c>
      <c r="C240" s="4" t="s">
        <v>487</v>
      </c>
      <c r="D240" s="4" t="s">
        <v>106</v>
      </c>
      <c r="E240" s="4" t="s">
        <v>487</v>
      </c>
      <c r="F240" s="29"/>
    </row>
    <row r="241" spans="1:6" x14ac:dyDescent="0.25">
      <c r="A241" t="s">
        <v>481</v>
      </c>
      <c r="B241" t="s">
        <v>51</v>
      </c>
      <c r="C241" s="4" t="s">
        <v>487</v>
      </c>
      <c r="D241" s="4" t="s">
        <v>107</v>
      </c>
      <c r="E241" s="4" t="s">
        <v>487</v>
      </c>
      <c r="F241" s="29"/>
    </row>
    <row r="242" spans="1:6" x14ac:dyDescent="0.25">
      <c r="A242" t="s">
        <v>481</v>
      </c>
      <c r="B242" t="s">
        <v>51</v>
      </c>
      <c r="C242" s="4" t="s">
        <v>487</v>
      </c>
      <c r="D242" s="4" t="s">
        <v>108</v>
      </c>
      <c r="E242" s="4" t="s">
        <v>487</v>
      </c>
      <c r="F242" s="29"/>
    </row>
    <row r="243" spans="1:6" x14ac:dyDescent="0.25">
      <c r="C243" s="4" t="s">
        <v>487</v>
      </c>
      <c r="D243" s="28" t="s">
        <v>482</v>
      </c>
      <c r="E243" s="4"/>
      <c r="F243" s="29"/>
    </row>
    <row r="244" spans="1:6" x14ac:dyDescent="0.25">
      <c r="C244" s="4" t="s">
        <v>487</v>
      </c>
      <c r="D244" s="28" t="s">
        <v>489</v>
      </c>
      <c r="E244" s="4"/>
      <c r="F244" s="29"/>
    </row>
    <row r="245" spans="1:6" x14ac:dyDescent="0.25">
      <c r="A245" t="s">
        <v>482</v>
      </c>
      <c r="B245" t="s">
        <v>51</v>
      </c>
      <c r="C245" s="4">
        <v>1</v>
      </c>
      <c r="D245" s="4" t="s">
        <v>456</v>
      </c>
      <c r="E245" s="4" t="s">
        <v>487</v>
      </c>
      <c r="F245" s="29">
        <v>0.2</v>
      </c>
    </row>
    <row r="246" spans="1:6" x14ac:dyDescent="0.25">
      <c r="A246" t="s">
        <v>482</v>
      </c>
      <c r="B246" t="s">
        <v>51</v>
      </c>
      <c r="C246" s="4" t="s">
        <v>487</v>
      </c>
      <c r="D246" s="4" t="s">
        <v>458</v>
      </c>
      <c r="E246" s="4" t="s">
        <v>487</v>
      </c>
      <c r="F246" s="29"/>
    </row>
    <row r="247" spans="1:6" x14ac:dyDescent="0.25">
      <c r="A247" t="s">
        <v>482</v>
      </c>
      <c r="B247" t="s">
        <v>51</v>
      </c>
      <c r="C247" s="4" t="s">
        <v>487</v>
      </c>
      <c r="D247" s="4" t="s">
        <v>459</v>
      </c>
      <c r="E247" s="4" t="s">
        <v>487</v>
      </c>
      <c r="F247" s="29"/>
    </row>
    <row r="248" spans="1:6" x14ac:dyDescent="0.25">
      <c r="A248" t="s">
        <v>482</v>
      </c>
      <c r="B248" t="s">
        <v>51</v>
      </c>
      <c r="C248" s="4" t="s">
        <v>487</v>
      </c>
      <c r="D248" s="4" t="s">
        <v>457</v>
      </c>
      <c r="E248" s="4" t="s">
        <v>17</v>
      </c>
      <c r="F248" s="29"/>
    </row>
    <row r="249" spans="1:6" x14ac:dyDescent="0.25">
      <c r="A249" t="s">
        <v>482</v>
      </c>
      <c r="B249" t="s">
        <v>51</v>
      </c>
      <c r="C249" s="4" t="s">
        <v>487</v>
      </c>
      <c r="D249" s="4" t="s">
        <v>460</v>
      </c>
      <c r="E249" s="4" t="s">
        <v>487</v>
      </c>
      <c r="F249" s="29"/>
    </row>
    <row r="250" spans="1:6" x14ac:dyDescent="0.25">
      <c r="A250" t="s">
        <v>482</v>
      </c>
      <c r="B250" t="s">
        <v>51</v>
      </c>
      <c r="C250" s="4">
        <v>2</v>
      </c>
      <c r="D250" s="4" t="s">
        <v>461</v>
      </c>
      <c r="E250" s="4" t="s">
        <v>487</v>
      </c>
      <c r="F250" s="29">
        <v>0.2</v>
      </c>
    </row>
    <row r="251" spans="1:6" x14ac:dyDescent="0.25">
      <c r="A251" t="s">
        <v>482</v>
      </c>
      <c r="B251" t="s">
        <v>51</v>
      </c>
      <c r="C251" s="4" t="s">
        <v>487</v>
      </c>
      <c r="D251" s="4" t="s">
        <v>462</v>
      </c>
      <c r="E251" s="4" t="s">
        <v>487</v>
      </c>
      <c r="F251" s="29"/>
    </row>
    <row r="252" spans="1:6" x14ac:dyDescent="0.25">
      <c r="A252" t="s">
        <v>482</v>
      </c>
      <c r="B252" t="s">
        <v>51</v>
      </c>
      <c r="C252" s="4" t="s">
        <v>487</v>
      </c>
      <c r="D252" s="4" t="s">
        <v>465</v>
      </c>
      <c r="E252" s="4" t="s">
        <v>487</v>
      </c>
      <c r="F252" s="29"/>
    </row>
    <row r="253" spans="1:6" x14ac:dyDescent="0.25">
      <c r="A253" t="s">
        <v>482</v>
      </c>
      <c r="B253" t="s">
        <v>51</v>
      </c>
      <c r="C253" s="4" t="s">
        <v>487</v>
      </c>
      <c r="D253" s="4" t="s">
        <v>464</v>
      </c>
      <c r="E253" s="4" t="s">
        <v>487</v>
      </c>
      <c r="F253" s="29"/>
    </row>
    <row r="254" spans="1:6" x14ac:dyDescent="0.25">
      <c r="A254" t="s">
        <v>482</v>
      </c>
      <c r="B254" t="s">
        <v>51</v>
      </c>
      <c r="C254" s="4" t="s">
        <v>487</v>
      </c>
      <c r="D254" s="4" t="s">
        <v>463</v>
      </c>
      <c r="E254" s="4" t="s">
        <v>67</v>
      </c>
      <c r="F254" s="29"/>
    </row>
    <row r="255" spans="1:6" x14ac:dyDescent="0.25">
      <c r="A255" t="s">
        <v>482</v>
      </c>
      <c r="B255" t="s">
        <v>51</v>
      </c>
      <c r="C255" s="4">
        <v>3</v>
      </c>
      <c r="D255" s="4" t="s">
        <v>362</v>
      </c>
      <c r="E255" s="4" t="s">
        <v>487</v>
      </c>
      <c r="F255" s="29">
        <v>0.2</v>
      </c>
    </row>
    <row r="256" spans="1:6" x14ac:dyDescent="0.25">
      <c r="A256" t="s">
        <v>482</v>
      </c>
      <c r="B256" t="s">
        <v>51</v>
      </c>
      <c r="C256" s="4" t="s">
        <v>487</v>
      </c>
      <c r="D256" s="4" t="s">
        <v>230</v>
      </c>
      <c r="E256" s="4" t="s">
        <v>487</v>
      </c>
      <c r="F256" s="29"/>
    </row>
    <row r="257" spans="1:6" x14ac:dyDescent="0.25">
      <c r="A257" t="s">
        <v>482</v>
      </c>
      <c r="B257" t="s">
        <v>51</v>
      </c>
      <c r="C257" s="4" t="s">
        <v>487</v>
      </c>
      <c r="D257" s="4" t="s">
        <v>231</v>
      </c>
      <c r="E257" s="4" t="s">
        <v>9</v>
      </c>
      <c r="F257" s="29"/>
    </row>
    <row r="258" spans="1:6" x14ac:dyDescent="0.25">
      <c r="A258" t="s">
        <v>482</v>
      </c>
      <c r="B258" t="s">
        <v>51</v>
      </c>
      <c r="C258" s="4" t="s">
        <v>487</v>
      </c>
      <c r="D258" s="4" t="s">
        <v>232</v>
      </c>
      <c r="E258" s="4" t="s">
        <v>487</v>
      </c>
      <c r="F258" s="29"/>
    </row>
    <row r="259" spans="1:6" x14ac:dyDescent="0.25">
      <c r="A259" t="s">
        <v>482</v>
      </c>
      <c r="B259" t="s">
        <v>51</v>
      </c>
      <c r="C259" s="4" t="s">
        <v>487</v>
      </c>
      <c r="D259" s="4" t="s">
        <v>233</v>
      </c>
      <c r="E259" s="4" t="s">
        <v>487</v>
      </c>
      <c r="F259" s="29"/>
    </row>
    <row r="260" spans="1:6" x14ac:dyDescent="0.25">
      <c r="A260" t="s">
        <v>482</v>
      </c>
      <c r="B260" t="s">
        <v>51</v>
      </c>
      <c r="C260" s="4">
        <v>4</v>
      </c>
      <c r="D260" s="4" t="s">
        <v>240</v>
      </c>
      <c r="E260" s="4" t="s">
        <v>487</v>
      </c>
      <c r="F260" s="29">
        <v>0.2</v>
      </c>
    </row>
    <row r="261" spans="1:6" x14ac:dyDescent="0.25">
      <c r="A261" t="s">
        <v>482</v>
      </c>
      <c r="B261" t="s">
        <v>51</v>
      </c>
      <c r="C261" s="4" t="s">
        <v>487</v>
      </c>
      <c r="D261" s="4" t="s">
        <v>56</v>
      </c>
      <c r="E261" s="4" t="s">
        <v>487</v>
      </c>
      <c r="F261" s="29"/>
    </row>
    <row r="262" spans="1:6" x14ac:dyDescent="0.25">
      <c r="A262" t="s">
        <v>482</v>
      </c>
      <c r="B262" t="s">
        <v>51</v>
      </c>
      <c r="C262" s="4" t="s">
        <v>487</v>
      </c>
      <c r="D262" s="4" t="s">
        <v>19</v>
      </c>
      <c r="E262" s="4" t="s">
        <v>487</v>
      </c>
      <c r="F262" s="29"/>
    </row>
    <row r="263" spans="1:6" x14ac:dyDescent="0.25">
      <c r="A263" t="s">
        <v>482</v>
      </c>
      <c r="B263" t="s">
        <v>51</v>
      </c>
      <c r="C263" s="4" t="s">
        <v>487</v>
      </c>
      <c r="D263" s="4" t="s">
        <v>241</v>
      </c>
      <c r="E263" s="4" t="s">
        <v>17</v>
      </c>
      <c r="F263" s="29"/>
    </row>
    <row r="264" spans="1:6" x14ac:dyDescent="0.25">
      <c r="A264" t="s">
        <v>482</v>
      </c>
      <c r="B264" t="s">
        <v>51</v>
      </c>
      <c r="C264" s="4" t="s">
        <v>487</v>
      </c>
      <c r="D264" s="4" t="s">
        <v>242</v>
      </c>
      <c r="E264" s="4" t="s">
        <v>487</v>
      </c>
      <c r="F264" s="29"/>
    </row>
    <row r="265" spans="1:6" x14ac:dyDescent="0.25">
      <c r="A265" t="s">
        <v>482</v>
      </c>
      <c r="B265" t="s">
        <v>51</v>
      </c>
      <c r="C265" s="4">
        <v>5</v>
      </c>
      <c r="D265" s="4" t="s">
        <v>264</v>
      </c>
      <c r="E265" s="4" t="s">
        <v>487</v>
      </c>
      <c r="F265" s="29">
        <v>0.2</v>
      </c>
    </row>
    <row r="266" spans="1:6" x14ac:dyDescent="0.25">
      <c r="A266" t="s">
        <v>482</v>
      </c>
      <c r="B266" t="s">
        <v>51</v>
      </c>
      <c r="C266" s="4" t="s">
        <v>487</v>
      </c>
      <c r="D266" s="4" t="s">
        <v>266</v>
      </c>
      <c r="E266" s="4" t="s">
        <v>487</v>
      </c>
      <c r="F266" s="29"/>
    </row>
    <row r="267" spans="1:6" x14ac:dyDescent="0.25">
      <c r="A267" t="s">
        <v>482</v>
      </c>
      <c r="B267" t="s">
        <v>51</v>
      </c>
      <c r="C267" s="4" t="s">
        <v>487</v>
      </c>
      <c r="D267" s="4" t="s">
        <v>265</v>
      </c>
      <c r="E267" s="4" t="s">
        <v>9</v>
      </c>
      <c r="F267" s="29"/>
    </row>
    <row r="268" spans="1:6" x14ac:dyDescent="0.25">
      <c r="A268" t="s">
        <v>482</v>
      </c>
      <c r="B268" t="s">
        <v>51</v>
      </c>
      <c r="C268" s="4" t="s">
        <v>487</v>
      </c>
      <c r="D268" s="4" t="s">
        <v>229</v>
      </c>
      <c r="E268" s="4" t="s">
        <v>487</v>
      </c>
      <c r="F268" s="29"/>
    </row>
    <row r="269" spans="1:6" x14ac:dyDescent="0.25">
      <c r="A269" t="s">
        <v>482</v>
      </c>
      <c r="B269" t="s">
        <v>51</v>
      </c>
      <c r="C269" s="4" t="s">
        <v>487</v>
      </c>
      <c r="D269" s="4" t="s">
        <v>245</v>
      </c>
      <c r="E269" s="4" t="s">
        <v>487</v>
      </c>
      <c r="F269" s="29"/>
    </row>
    <row r="270" spans="1:6" x14ac:dyDescent="0.25">
      <c r="A270" t="s">
        <v>482</v>
      </c>
      <c r="B270" t="s">
        <v>51</v>
      </c>
      <c r="C270" s="4">
        <v>6</v>
      </c>
      <c r="D270" s="4" t="s">
        <v>451</v>
      </c>
      <c r="E270" s="4" t="s">
        <v>487</v>
      </c>
      <c r="F270" s="29">
        <v>0.2</v>
      </c>
    </row>
    <row r="271" spans="1:6" x14ac:dyDescent="0.25">
      <c r="A271" t="s">
        <v>482</v>
      </c>
      <c r="B271" t="s">
        <v>51</v>
      </c>
      <c r="C271" s="4" t="s">
        <v>487</v>
      </c>
      <c r="D271" s="4" t="s">
        <v>444</v>
      </c>
      <c r="E271" s="4" t="s">
        <v>487</v>
      </c>
      <c r="F271" s="29"/>
    </row>
    <row r="272" spans="1:6" x14ac:dyDescent="0.25">
      <c r="A272" t="s">
        <v>482</v>
      </c>
      <c r="B272" t="s">
        <v>51</v>
      </c>
      <c r="C272" s="4" t="s">
        <v>487</v>
      </c>
      <c r="D272" s="4" t="s">
        <v>445</v>
      </c>
      <c r="E272" s="4" t="s">
        <v>487</v>
      </c>
      <c r="F272" s="29"/>
    </row>
    <row r="273" spans="1:6" x14ac:dyDescent="0.25">
      <c r="A273" t="s">
        <v>482</v>
      </c>
      <c r="B273" t="s">
        <v>51</v>
      </c>
      <c r="C273" s="4" t="s">
        <v>487</v>
      </c>
      <c r="D273" s="4" t="s">
        <v>425</v>
      </c>
      <c r="E273" s="4" t="s">
        <v>17</v>
      </c>
      <c r="F273" s="29"/>
    </row>
    <row r="274" spans="1:6" x14ac:dyDescent="0.25">
      <c r="A274" t="s">
        <v>482</v>
      </c>
      <c r="B274" t="s">
        <v>51</v>
      </c>
      <c r="C274" s="4" t="s">
        <v>487</v>
      </c>
      <c r="D274" s="4" t="s">
        <v>452</v>
      </c>
      <c r="E274" s="4" t="s">
        <v>487</v>
      </c>
      <c r="F274" s="29"/>
    </row>
    <row r="275" spans="1:6" x14ac:dyDescent="0.25">
      <c r="A275" t="s">
        <v>482</v>
      </c>
      <c r="B275" t="s">
        <v>51</v>
      </c>
      <c r="C275" s="4">
        <v>7</v>
      </c>
      <c r="D275" s="4" t="s">
        <v>361</v>
      </c>
      <c r="E275" s="4" t="s">
        <v>487</v>
      </c>
      <c r="F275" s="29">
        <v>0.2</v>
      </c>
    </row>
    <row r="276" spans="1:6" x14ac:dyDescent="0.25">
      <c r="A276" t="s">
        <v>482</v>
      </c>
      <c r="B276" t="s">
        <v>51</v>
      </c>
      <c r="C276" s="4" t="s">
        <v>487</v>
      </c>
      <c r="D276" s="4" t="s">
        <v>230</v>
      </c>
      <c r="E276" s="4" t="s">
        <v>487</v>
      </c>
      <c r="F276" s="29"/>
    </row>
    <row r="277" spans="1:6" x14ac:dyDescent="0.25">
      <c r="A277" t="s">
        <v>482</v>
      </c>
      <c r="B277" t="s">
        <v>51</v>
      </c>
      <c r="C277" s="4" t="s">
        <v>487</v>
      </c>
      <c r="D277" s="4" t="s">
        <v>239</v>
      </c>
      <c r="E277" s="4" t="s">
        <v>9</v>
      </c>
      <c r="F277" s="29"/>
    </row>
    <row r="278" spans="1:6" x14ac:dyDescent="0.25">
      <c r="A278" t="s">
        <v>482</v>
      </c>
      <c r="B278" t="s">
        <v>51</v>
      </c>
      <c r="C278" s="4" t="s">
        <v>487</v>
      </c>
      <c r="D278" s="4" t="s">
        <v>232</v>
      </c>
      <c r="E278" s="4" t="s">
        <v>487</v>
      </c>
      <c r="F278" s="29"/>
    </row>
    <row r="279" spans="1:6" x14ac:dyDescent="0.25">
      <c r="A279" t="s">
        <v>482</v>
      </c>
      <c r="B279" t="s">
        <v>51</v>
      </c>
      <c r="C279" s="4" t="s">
        <v>487</v>
      </c>
      <c r="D279" s="4" t="s">
        <v>233</v>
      </c>
      <c r="E279" s="4" t="s">
        <v>487</v>
      </c>
      <c r="F279" s="29"/>
    </row>
    <row r="280" spans="1:6" x14ac:dyDescent="0.25">
      <c r="A280" t="s">
        <v>482</v>
      </c>
      <c r="B280" t="s">
        <v>51</v>
      </c>
      <c r="C280" s="4">
        <v>8</v>
      </c>
      <c r="D280" s="4" t="s">
        <v>469</v>
      </c>
      <c r="E280" s="4" t="s">
        <v>487</v>
      </c>
      <c r="F280" s="29">
        <v>0.2</v>
      </c>
    </row>
    <row r="281" spans="1:6" x14ac:dyDescent="0.25">
      <c r="A281" t="s">
        <v>482</v>
      </c>
      <c r="B281" t="s">
        <v>51</v>
      </c>
      <c r="C281" s="4" t="s">
        <v>487</v>
      </c>
      <c r="D281" s="4" t="s">
        <v>470</v>
      </c>
      <c r="E281" s="4" t="s">
        <v>487</v>
      </c>
      <c r="F281" s="29"/>
    </row>
    <row r="282" spans="1:6" x14ac:dyDescent="0.25">
      <c r="A282" t="s">
        <v>482</v>
      </c>
      <c r="B282" t="s">
        <v>51</v>
      </c>
      <c r="C282" s="4" t="s">
        <v>487</v>
      </c>
      <c r="D282" s="4" t="s">
        <v>447</v>
      </c>
      <c r="E282" s="4" t="s">
        <v>487</v>
      </c>
      <c r="F282" s="29"/>
    </row>
    <row r="283" spans="1:6" x14ac:dyDescent="0.25">
      <c r="A283" t="s">
        <v>482</v>
      </c>
      <c r="B283" t="s">
        <v>51</v>
      </c>
      <c r="C283" s="4" t="s">
        <v>487</v>
      </c>
      <c r="D283" s="4" t="s">
        <v>239</v>
      </c>
      <c r="E283" s="4" t="s">
        <v>9</v>
      </c>
      <c r="F283" s="29"/>
    </row>
    <row r="284" spans="1:6" x14ac:dyDescent="0.25">
      <c r="A284" t="s">
        <v>482</v>
      </c>
      <c r="B284" t="s">
        <v>51</v>
      </c>
      <c r="C284" s="4" t="s">
        <v>487</v>
      </c>
      <c r="D284" s="4" t="s">
        <v>471</v>
      </c>
      <c r="E284" s="4" t="s">
        <v>487</v>
      </c>
      <c r="F284" s="29"/>
    </row>
    <row r="285" spans="1:6" x14ac:dyDescent="0.25">
      <c r="A285" t="s">
        <v>482</v>
      </c>
      <c r="B285" t="s">
        <v>51</v>
      </c>
      <c r="C285" s="4">
        <v>9</v>
      </c>
      <c r="D285" s="4" t="s">
        <v>439</v>
      </c>
      <c r="E285" s="4" t="s">
        <v>487</v>
      </c>
      <c r="F285" s="29">
        <v>0.2</v>
      </c>
    </row>
    <row r="286" spans="1:6" x14ac:dyDescent="0.25">
      <c r="A286" t="s">
        <v>482</v>
      </c>
      <c r="B286" t="s">
        <v>51</v>
      </c>
      <c r="C286" s="4" t="s">
        <v>487</v>
      </c>
      <c r="D286" s="4" t="s">
        <v>441</v>
      </c>
      <c r="E286" s="4" t="s">
        <v>487</v>
      </c>
      <c r="F286" s="29"/>
    </row>
    <row r="287" spans="1:6" x14ac:dyDescent="0.25">
      <c r="A287" t="s">
        <v>482</v>
      </c>
      <c r="B287" t="s">
        <v>51</v>
      </c>
      <c r="C287" s="4" t="s">
        <v>487</v>
      </c>
      <c r="D287" s="4" t="s">
        <v>442</v>
      </c>
      <c r="E287" s="4" t="s">
        <v>487</v>
      </c>
      <c r="F287" s="29"/>
    </row>
    <row r="288" spans="1:6" x14ac:dyDescent="0.25">
      <c r="A288" t="s">
        <v>482</v>
      </c>
      <c r="B288" t="s">
        <v>51</v>
      </c>
      <c r="C288" s="4" t="s">
        <v>487</v>
      </c>
      <c r="D288" s="4" t="s">
        <v>151</v>
      </c>
      <c r="E288" s="4" t="s">
        <v>487</v>
      </c>
      <c r="F288" s="29"/>
    </row>
    <row r="289" spans="1:6" x14ac:dyDescent="0.25">
      <c r="A289" t="s">
        <v>482</v>
      </c>
      <c r="B289" t="s">
        <v>51</v>
      </c>
      <c r="C289" s="4" t="s">
        <v>487</v>
      </c>
      <c r="D289" s="4" t="s">
        <v>440</v>
      </c>
      <c r="E289" s="4" t="s">
        <v>67</v>
      </c>
      <c r="F289" s="29"/>
    </row>
    <row r="290" spans="1:6" x14ac:dyDescent="0.25">
      <c r="A290" t="s">
        <v>482</v>
      </c>
      <c r="B290" t="s">
        <v>51</v>
      </c>
      <c r="C290" s="4">
        <v>10</v>
      </c>
      <c r="D290" s="4" t="s">
        <v>427</v>
      </c>
      <c r="E290" s="4" t="s">
        <v>487</v>
      </c>
      <c r="F290" s="29">
        <v>0.2</v>
      </c>
    </row>
    <row r="291" spans="1:6" x14ac:dyDescent="0.25">
      <c r="A291" t="s">
        <v>482</v>
      </c>
      <c r="B291" t="s">
        <v>51</v>
      </c>
      <c r="C291" s="4" t="s">
        <v>487</v>
      </c>
      <c r="D291" s="4" t="s">
        <v>428</v>
      </c>
      <c r="E291" s="4" t="s">
        <v>36</v>
      </c>
      <c r="F291" s="29"/>
    </row>
    <row r="292" spans="1:6" x14ac:dyDescent="0.25">
      <c r="A292" t="s">
        <v>482</v>
      </c>
      <c r="B292" t="s">
        <v>51</v>
      </c>
      <c r="C292" s="4" t="s">
        <v>487</v>
      </c>
      <c r="D292" s="4" t="s">
        <v>229</v>
      </c>
      <c r="E292" s="4" t="s">
        <v>487</v>
      </c>
      <c r="F292" s="29"/>
    </row>
    <row r="293" spans="1:6" x14ac:dyDescent="0.25">
      <c r="A293" t="s">
        <v>482</v>
      </c>
      <c r="B293" t="s">
        <v>51</v>
      </c>
      <c r="C293" s="4" t="s">
        <v>487</v>
      </c>
      <c r="D293" s="4" t="s">
        <v>429</v>
      </c>
      <c r="E293" s="4" t="s">
        <v>487</v>
      </c>
      <c r="F293" s="29"/>
    </row>
    <row r="294" spans="1:6" x14ac:dyDescent="0.25">
      <c r="A294" t="s">
        <v>482</v>
      </c>
      <c r="B294" t="s">
        <v>51</v>
      </c>
      <c r="C294" s="4" t="s">
        <v>487</v>
      </c>
      <c r="D294" s="4" t="s">
        <v>430</v>
      </c>
      <c r="E294" s="4" t="s">
        <v>487</v>
      </c>
      <c r="F294" s="29"/>
    </row>
    <row r="295" spans="1:6" x14ac:dyDescent="0.25">
      <c r="A295" t="s">
        <v>482</v>
      </c>
      <c r="B295" t="s">
        <v>51</v>
      </c>
      <c r="C295" s="4">
        <v>11</v>
      </c>
      <c r="D295" s="4" t="s">
        <v>359</v>
      </c>
      <c r="E295" s="4" t="s">
        <v>487</v>
      </c>
      <c r="F295" s="29">
        <v>0.2</v>
      </c>
    </row>
    <row r="296" spans="1:6" x14ac:dyDescent="0.25">
      <c r="A296" t="s">
        <v>482</v>
      </c>
      <c r="B296" t="s">
        <v>51</v>
      </c>
      <c r="C296" s="4" t="s">
        <v>487</v>
      </c>
      <c r="D296" s="4" t="s">
        <v>226</v>
      </c>
      <c r="E296" s="4" t="s">
        <v>487</v>
      </c>
      <c r="F296" s="29"/>
    </row>
    <row r="297" spans="1:6" x14ac:dyDescent="0.25">
      <c r="A297" t="s">
        <v>482</v>
      </c>
      <c r="B297" t="s">
        <v>51</v>
      </c>
      <c r="C297" s="4" t="s">
        <v>487</v>
      </c>
      <c r="D297" s="4" t="s">
        <v>227</v>
      </c>
      <c r="E297" s="4" t="s">
        <v>9</v>
      </c>
      <c r="F297" s="29"/>
    </row>
    <row r="298" spans="1:6" x14ac:dyDescent="0.25">
      <c r="A298" t="s">
        <v>482</v>
      </c>
      <c r="B298" t="s">
        <v>51</v>
      </c>
      <c r="C298" s="4" t="s">
        <v>487</v>
      </c>
      <c r="D298" s="4" t="s">
        <v>228</v>
      </c>
      <c r="E298" s="4" t="s">
        <v>487</v>
      </c>
      <c r="F298" s="29"/>
    </row>
    <row r="299" spans="1:6" x14ac:dyDescent="0.25">
      <c r="A299" t="s">
        <v>482</v>
      </c>
      <c r="B299" t="s">
        <v>51</v>
      </c>
      <c r="C299" s="4" t="s">
        <v>487</v>
      </c>
      <c r="D299" s="4" t="s">
        <v>229</v>
      </c>
      <c r="E299" s="4" t="s">
        <v>487</v>
      </c>
      <c r="F299" s="29"/>
    </row>
    <row r="300" spans="1:6" x14ac:dyDescent="0.25">
      <c r="A300" t="s">
        <v>482</v>
      </c>
      <c r="B300" t="s">
        <v>51</v>
      </c>
      <c r="C300" s="4">
        <v>12</v>
      </c>
      <c r="D300" s="4" t="s">
        <v>360</v>
      </c>
      <c r="E300" s="4" t="s">
        <v>487</v>
      </c>
      <c r="F300" s="29">
        <v>0.2</v>
      </c>
    </row>
    <row r="301" spans="1:6" x14ac:dyDescent="0.25">
      <c r="A301" t="s">
        <v>482</v>
      </c>
      <c r="B301" t="s">
        <v>51</v>
      </c>
      <c r="C301" s="4" t="s">
        <v>487</v>
      </c>
      <c r="D301" s="4" t="s">
        <v>358</v>
      </c>
      <c r="E301" s="4" t="s">
        <v>487</v>
      </c>
      <c r="F301" s="29"/>
    </row>
    <row r="302" spans="1:6" x14ac:dyDescent="0.25">
      <c r="A302" t="s">
        <v>482</v>
      </c>
      <c r="B302" t="s">
        <v>51</v>
      </c>
      <c r="C302" s="4" t="s">
        <v>487</v>
      </c>
      <c r="D302" s="4" t="s">
        <v>244</v>
      </c>
      <c r="E302" s="4" t="s">
        <v>487</v>
      </c>
      <c r="F302" s="29"/>
    </row>
    <row r="303" spans="1:6" x14ac:dyDescent="0.25">
      <c r="A303" t="s">
        <v>482</v>
      </c>
      <c r="B303" t="s">
        <v>51</v>
      </c>
      <c r="C303" s="4" t="s">
        <v>487</v>
      </c>
      <c r="D303" s="4" t="s">
        <v>243</v>
      </c>
      <c r="E303" s="4" t="s">
        <v>9</v>
      </c>
      <c r="F303" s="29"/>
    </row>
    <row r="304" spans="1:6" x14ac:dyDescent="0.25">
      <c r="A304" t="s">
        <v>482</v>
      </c>
      <c r="B304" t="s">
        <v>51</v>
      </c>
      <c r="C304" s="4" t="s">
        <v>487</v>
      </c>
      <c r="D304" s="4" t="s">
        <v>246</v>
      </c>
      <c r="E304" s="4" t="s">
        <v>487</v>
      </c>
      <c r="F304" s="29"/>
    </row>
    <row r="305" spans="1:6" x14ac:dyDescent="0.25">
      <c r="A305" t="s">
        <v>482</v>
      </c>
      <c r="B305" t="s">
        <v>51</v>
      </c>
      <c r="C305" s="4">
        <v>13</v>
      </c>
      <c r="D305" s="4" t="s">
        <v>453</v>
      </c>
      <c r="E305" s="4" t="s">
        <v>487</v>
      </c>
      <c r="F305" s="29">
        <v>0.2</v>
      </c>
    </row>
    <row r="306" spans="1:6" x14ac:dyDescent="0.25">
      <c r="A306" t="s">
        <v>482</v>
      </c>
      <c r="B306" t="s">
        <v>51</v>
      </c>
      <c r="C306" s="4" t="s">
        <v>487</v>
      </c>
      <c r="D306" s="4" t="s">
        <v>454</v>
      </c>
      <c r="E306" s="4" t="s">
        <v>487</v>
      </c>
      <c r="F306" s="29"/>
    </row>
    <row r="307" spans="1:6" x14ac:dyDescent="0.25">
      <c r="A307" t="s">
        <v>482</v>
      </c>
      <c r="B307" t="s">
        <v>51</v>
      </c>
      <c r="C307" s="4" t="s">
        <v>487</v>
      </c>
      <c r="D307" s="4" t="s">
        <v>455</v>
      </c>
      <c r="E307" s="4" t="s">
        <v>9</v>
      </c>
      <c r="F307" s="29"/>
    </row>
    <row r="308" spans="1:6" x14ac:dyDescent="0.25">
      <c r="A308" t="s">
        <v>482</v>
      </c>
      <c r="B308" t="s">
        <v>51</v>
      </c>
      <c r="C308" s="4" t="s">
        <v>487</v>
      </c>
      <c r="D308" s="4" t="s">
        <v>146</v>
      </c>
      <c r="E308" s="4" t="s">
        <v>487</v>
      </c>
      <c r="F308" s="29"/>
    </row>
    <row r="309" spans="1:6" x14ac:dyDescent="0.25">
      <c r="A309" t="s">
        <v>482</v>
      </c>
      <c r="B309" t="s">
        <v>51</v>
      </c>
      <c r="C309" s="4" t="s">
        <v>487</v>
      </c>
      <c r="D309" s="4" t="s">
        <v>151</v>
      </c>
      <c r="E309" s="4" t="s">
        <v>487</v>
      </c>
      <c r="F309" s="29"/>
    </row>
    <row r="310" spans="1:6" x14ac:dyDescent="0.25">
      <c r="A310" t="s">
        <v>482</v>
      </c>
      <c r="B310" t="s">
        <v>51</v>
      </c>
      <c r="C310" s="4">
        <v>14</v>
      </c>
      <c r="D310" s="4" t="s">
        <v>434</v>
      </c>
      <c r="E310" s="4" t="s">
        <v>487</v>
      </c>
      <c r="F310" s="29">
        <v>0.2</v>
      </c>
    </row>
    <row r="311" spans="1:6" x14ac:dyDescent="0.25">
      <c r="A311" t="s">
        <v>482</v>
      </c>
      <c r="B311" t="s">
        <v>51</v>
      </c>
      <c r="C311" s="4" t="s">
        <v>487</v>
      </c>
      <c r="D311" s="4" t="s">
        <v>435</v>
      </c>
      <c r="E311" s="4" t="s">
        <v>36</v>
      </c>
      <c r="F311" s="29"/>
    </row>
    <row r="312" spans="1:6" x14ac:dyDescent="0.25">
      <c r="A312" t="s">
        <v>482</v>
      </c>
      <c r="B312" t="s">
        <v>51</v>
      </c>
      <c r="C312" s="4" t="s">
        <v>487</v>
      </c>
      <c r="D312" s="4" t="s">
        <v>436</v>
      </c>
      <c r="E312" s="4" t="s">
        <v>487</v>
      </c>
      <c r="F312" s="29"/>
    </row>
    <row r="313" spans="1:6" x14ac:dyDescent="0.25">
      <c r="A313" t="s">
        <v>482</v>
      </c>
      <c r="B313" t="s">
        <v>51</v>
      </c>
      <c r="C313" s="4" t="s">
        <v>487</v>
      </c>
      <c r="D313" s="4" t="s">
        <v>437</v>
      </c>
      <c r="E313" s="4" t="s">
        <v>487</v>
      </c>
      <c r="F313" s="29"/>
    </row>
    <row r="314" spans="1:6" x14ac:dyDescent="0.25">
      <c r="A314" t="s">
        <v>482</v>
      </c>
      <c r="B314" t="s">
        <v>51</v>
      </c>
      <c r="C314" s="4" t="s">
        <v>487</v>
      </c>
      <c r="D314" s="4" t="s">
        <v>438</v>
      </c>
      <c r="E314" s="4" t="s">
        <v>487</v>
      </c>
      <c r="F314" s="29"/>
    </row>
    <row r="315" spans="1:6" x14ac:dyDescent="0.25">
      <c r="A315" t="s">
        <v>482</v>
      </c>
      <c r="B315" t="s">
        <v>51</v>
      </c>
      <c r="C315" s="4">
        <v>15</v>
      </c>
      <c r="D315" s="4" t="s">
        <v>247</v>
      </c>
      <c r="E315" s="4" t="s">
        <v>487</v>
      </c>
      <c r="F315" s="29">
        <v>0.2</v>
      </c>
    </row>
    <row r="316" spans="1:6" x14ac:dyDescent="0.25">
      <c r="A316" t="s">
        <v>482</v>
      </c>
      <c r="B316" t="s">
        <v>51</v>
      </c>
      <c r="C316" s="4" t="s">
        <v>487</v>
      </c>
      <c r="D316" s="4" t="s">
        <v>248</v>
      </c>
      <c r="E316" s="4" t="s">
        <v>487</v>
      </c>
      <c r="F316" s="29"/>
    </row>
    <row r="317" spans="1:6" x14ac:dyDescent="0.25">
      <c r="A317" t="s">
        <v>482</v>
      </c>
      <c r="B317" t="s">
        <v>51</v>
      </c>
      <c r="C317" s="4" t="s">
        <v>487</v>
      </c>
      <c r="D317" s="4" t="s">
        <v>249</v>
      </c>
      <c r="E317" s="4" t="s">
        <v>9</v>
      </c>
      <c r="F317" s="29"/>
    </row>
    <row r="318" spans="1:6" x14ac:dyDescent="0.25">
      <c r="A318" t="s">
        <v>482</v>
      </c>
      <c r="B318" t="s">
        <v>51</v>
      </c>
      <c r="C318" s="4" t="s">
        <v>487</v>
      </c>
      <c r="D318" s="4" t="s">
        <v>220</v>
      </c>
      <c r="E318" s="4" t="s">
        <v>487</v>
      </c>
      <c r="F318" s="29"/>
    </row>
    <row r="319" spans="1:6" x14ac:dyDescent="0.25">
      <c r="A319" t="s">
        <v>482</v>
      </c>
      <c r="B319" t="s">
        <v>51</v>
      </c>
      <c r="C319" s="4" t="s">
        <v>487</v>
      </c>
      <c r="D319" s="4" t="s">
        <v>211</v>
      </c>
      <c r="E319" s="4" t="s">
        <v>487</v>
      </c>
      <c r="F319" s="29"/>
    </row>
    <row r="320" spans="1:6" x14ac:dyDescent="0.25">
      <c r="A320" t="s">
        <v>482</v>
      </c>
      <c r="B320" t="s">
        <v>51</v>
      </c>
      <c r="C320" s="4">
        <v>16</v>
      </c>
      <c r="D320" s="4" t="s">
        <v>271</v>
      </c>
      <c r="E320" s="4" t="s">
        <v>487</v>
      </c>
      <c r="F320" s="29">
        <v>0.2</v>
      </c>
    </row>
    <row r="321" spans="1:6" x14ac:dyDescent="0.25">
      <c r="A321" t="s">
        <v>482</v>
      </c>
      <c r="B321" t="s">
        <v>51</v>
      </c>
      <c r="C321" s="4" t="s">
        <v>487</v>
      </c>
      <c r="D321" s="4" t="s">
        <v>256</v>
      </c>
      <c r="E321" s="4" t="s">
        <v>487</v>
      </c>
      <c r="F321" s="29"/>
    </row>
    <row r="322" spans="1:6" x14ac:dyDescent="0.25">
      <c r="A322" t="s">
        <v>482</v>
      </c>
      <c r="B322" t="s">
        <v>51</v>
      </c>
      <c r="C322" s="4" t="s">
        <v>487</v>
      </c>
      <c r="D322" s="4" t="s">
        <v>272</v>
      </c>
      <c r="E322" s="4" t="s">
        <v>9</v>
      </c>
      <c r="F322" s="29"/>
    </row>
    <row r="323" spans="1:6" x14ac:dyDescent="0.25">
      <c r="A323" t="s">
        <v>482</v>
      </c>
      <c r="B323" t="s">
        <v>51</v>
      </c>
      <c r="C323" s="4" t="s">
        <v>487</v>
      </c>
      <c r="D323" s="4" t="s">
        <v>248</v>
      </c>
      <c r="E323" s="4" t="s">
        <v>487</v>
      </c>
      <c r="F323" s="29"/>
    </row>
    <row r="324" spans="1:6" x14ac:dyDescent="0.25">
      <c r="A324" t="s">
        <v>482</v>
      </c>
      <c r="B324" t="s">
        <v>51</v>
      </c>
      <c r="C324" s="4" t="s">
        <v>487</v>
      </c>
      <c r="D324" s="4" t="s">
        <v>268</v>
      </c>
      <c r="E324" s="4" t="s">
        <v>487</v>
      </c>
      <c r="F324" s="29"/>
    </row>
    <row r="325" spans="1:6" x14ac:dyDescent="0.25">
      <c r="A325" t="s">
        <v>482</v>
      </c>
      <c r="B325" t="s">
        <v>51</v>
      </c>
      <c r="C325" s="4">
        <v>17</v>
      </c>
      <c r="D325" s="4" t="s">
        <v>250</v>
      </c>
      <c r="E325" s="4" t="s">
        <v>487</v>
      </c>
      <c r="F325" s="29">
        <v>0.2</v>
      </c>
    </row>
    <row r="326" spans="1:6" x14ac:dyDescent="0.25">
      <c r="A326" t="s">
        <v>482</v>
      </c>
      <c r="B326" t="s">
        <v>51</v>
      </c>
      <c r="C326" s="4" t="s">
        <v>487</v>
      </c>
      <c r="D326" s="4" t="s">
        <v>252</v>
      </c>
      <c r="E326" s="4" t="s">
        <v>487</v>
      </c>
      <c r="F326" s="29"/>
    </row>
    <row r="327" spans="1:6" x14ac:dyDescent="0.25">
      <c r="A327" t="s">
        <v>482</v>
      </c>
      <c r="B327" t="s">
        <v>51</v>
      </c>
      <c r="C327" s="4" t="s">
        <v>487</v>
      </c>
      <c r="D327" s="4" t="s">
        <v>253</v>
      </c>
      <c r="E327" s="4" t="s">
        <v>487</v>
      </c>
      <c r="F327" s="29"/>
    </row>
    <row r="328" spans="1:6" x14ac:dyDescent="0.25">
      <c r="A328" t="s">
        <v>482</v>
      </c>
      <c r="B328" t="s">
        <v>51</v>
      </c>
      <c r="C328" s="4" t="s">
        <v>487</v>
      </c>
      <c r="D328" s="4" t="s">
        <v>251</v>
      </c>
      <c r="E328" s="4" t="s">
        <v>17</v>
      </c>
      <c r="F328" s="29"/>
    </row>
    <row r="329" spans="1:6" x14ac:dyDescent="0.25">
      <c r="A329" t="s">
        <v>482</v>
      </c>
      <c r="B329" t="s">
        <v>51</v>
      </c>
      <c r="C329" s="4" t="s">
        <v>487</v>
      </c>
      <c r="D329" s="4" t="s">
        <v>254</v>
      </c>
      <c r="E329" s="4" t="s">
        <v>487</v>
      </c>
      <c r="F329" s="29"/>
    </row>
    <row r="330" spans="1:6" x14ac:dyDescent="0.25">
      <c r="A330" t="s">
        <v>482</v>
      </c>
      <c r="B330" t="s">
        <v>51</v>
      </c>
      <c r="C330" s="4">
        <v>18</v>
      </c>
      <c r="D330" s="4" t="s">
        <v>431</v>
      </c>
      <c r="E330" s="4" t="s">
        <v>487</v>
      </c>
      <c r="F330" s="29">
        <v>0.2</v>
      </c>
    </row>
    <row r="331" spans="1:6" x14ac:dyDescent="0.25">
      <c r="A331" t="s">
        <v>482</v>
      </c>
      <c r="B331" t="s">
        <v>51</v>
      </c>
      <c r="C331" s="4" t="s">
        <v>487</v>
      </c>
      <c r="D331" s="4" t="s">
        <v>432</v>
      </c>
      <c r="E331" s="4" t="s">
        <v>36</v>
      </c>
      <c r="F331" s="29"/>
    </row>
    <row r="332" spans="1:6" x14ac:dyDescent="0.25">
      <c r="A332" t="s">
        <v>482</v>
      </c>
      <c r="B332" t="s">
        <v>51</v>
      </c>
      <c r="C332" s="4" t="s">
        <v>487</v>
      </c>
      <c r="D332" s="4" t="s">
        <v>433</v>
      </c>
      <c r="E332" s="4" t="s">
        <v>487</v>
      </c>
      <c r="F332" s="29"/>
    </row>
    <row r="333" spans="1:6" x14ac:dyDescent="0.25">
      <c r="A333" t="s">
        <v>482</v>
      </c>
      <c r="B333" t="s">
        <v>51</v>
      </c>
      <c r="C333" s="4" t="s">
        <v>487</v>
      </c>
      <c r="D333" s="4" t="s">
        <v>19</v>
      </c>
      <c r="E333" s="4" t="s">
        <v>487</v>
      </c>
      <c r="F333" s="29"/>
    </row>
    <row r="334" spans="1:6" x14ac:dyDescent="0.25">
      <c r="A334" t="s">
        <v>482</v>
      </c>
      <c r="B334" t="s">
        <v>51</v>
      </c>
      <c r="C334" s="4" t="s">
        <v>487</v>
      </c>
      <c r="D334" s="4" t="s">
        <v>312</v>
      </c>
      <c r="E334" s="4" t="s">
        <v>487</v>
      </c>
      <c r="F334" s="29"/>
    </row>
    <row r="335" spans="1:6" x14ac:dyDescent="0.25">
      <c r="A335" t="s">
        <v>482</v>
      </c>
      <c r="B335" t="s">
        <v>51</v>
      </c>
      <c r="C335" s="4">
        <v>19</v>
      </c>
      <c r="D335" s="4" t="s">
        <v>222</v>
      </c>
      <c r="E335" s="4" t="s">
        <v>487</v>
      </c>
      <c r="F335" s="29">
        <v>0.2</v>
      </c>
    </row>
    <row r="336" spans="1:6" x14ac:dyDescent="0.25">
      <c r="A336" t="s">
        <v>482</v>
      </c>
      <c r="B336" t="s">
        <v>51</v>
      </c>
      <c r="C336" s="4" t="s">
        <v>487</v>
      </c>
      <c r="D336" s="4" t="s">
        <v>224</v>
      </c>
      <c r="E336" s="4" t="s">
        <v>487</v>
      </c>
      <c r="F336" s="29"/>
    </row>
    <row r="337" spans="1:6" x14ac:dyDescent="0.25">
      <c r="A337" t="s">
        <v>482</v>
      </c>
      <c r="B337" t="s">
        <v>51</v>
      </c>
      <c r="C337" s="4" t="s">
        <v>487</v>
      </c>
      <c r="D337" s="4" t="s">
        <v>210</v>
      </c>
      <c r="E337" s="4" t="s">
        <v>487</v>
      </c>
      <c r="F337" s="29"/>
    </row>
    <row r="338" spans="1:6" x14ac:dyDescent="0.25">
      <c r="A338" t="s">
        <v>482</v>
      </c>
      <c r="B338" t="s">
        <v>51</v>
      </c>
      <c r="C338" s="4" t="s">
        <v>487</v>
      </c>
      <c r="D338" s="4" t="s">
        <v>223</v>
      </c>
      <c r="E338" s="4" t="s">
        <v>17</v>
      </c>
      <c r="F338" s="29"/>
    </row>
    <row r="339" spans="1:6" x14ac:dyDescent="0.25">
      <c r="A339" t="s">
        <v>482</v>
      </c>
      <c r="B339" t="s">
        <v>51</v>
      </c>
      <c r="C339" s="4" t="s">
        <v>487</v>
      </c>
      <c r="D339" s="4" t="s">
        <v>225</v>
      </c>
      <c r="E339" s="4" t="s">
        <v>487</v>
      </c>
      <c r="F339" s="29"/>
    </row>
    <row r="340" spans="1:6" x14ac:dyDescent="0.25">
      <c r="A340" t="s">
        <v>482</v>
      </c>
      <c r="B340" t="s">
        <v>51</v>
      </c>
      <c r="C340" s="4">
        <v>20</v>
      </c>
      <c r="D340" s="4" t="s">
        <v>217</v>
      </c>
      <c r="E340" s="4" t="s">
        <v>487</v>
      </c>
      <c r="F340" s="29">
        <v>0.2</v>
      </c>
    </row>
    <row r="341" spans="1:6" x14ac:dyDescent="0.25">
      <c r="A341" t="s">
        <v>482</v>
      </c>
      <c r="B341" t="s">
        <v>51</v>
      </c>
      <c r="C341" s="4" t="s">
        <v>487</v>
      </c>
      <c r="D341" s="4" t="s">
        <v>218</v>
      </c>
      <c r="E341" s="4" t="s">
        <v>487</v>
      </c>
      <c r="F341" s="29"/>
    </row>
    <row r="342" spans="1:6" x14ac:dyDescent="0.25">
      <c r="A342" t="s">
        <v>482</v>
      </c>
      <c r="B342" t="s">
        <v>51</v>
      </c>
      <c r="C342" s="4" t="s">
        <v>487</v>
      </c>
      <c r="D342" s="4" t="s">
        <v>357</v>
      </c>
      <c r="E342" s="4" t="s">
        <v>487</v>
      </c>
      <c r="F342" s="29"/>
    </row>
    <row r="343" spans="1:6" x14ac:dyDescent="0.25">
      <c r="A343" t="s">
        <v>482</v>
      </c>
      <c r="B343" t="s">
        <v>51</v>
      </c>
      <c r="C343" s="4" t="s">
        <v>487</v>
      </c>
      <c r="D343" s="4" t="s">
        <v>219</v>
      </c>
      <c r="E343" s="4" t="s">
        <v>17</v>
      </c>
      <c r="F343" s="29"/>
    </row>
    <row r="344" spans="1:6" x14ac:dyDescent="0.25">
      <c r="A344" t="s">
        <v>482</v>
      </c>
      <c r="B344" t="s">
        <v>51</v>
      </c>
      <c r="C344" s="4" t="s">
        <v>487</v>
      </c>
      <c r="D344" s="4" t="s">
        <v>221</v>
      </c>
      <c r="E344" s="4" t="s">
        <v>487</v>
      </c>
      <c r="F344" s="29"/>
    </row>
    <row r="345" spans="1:6" x14ac:dyDescent="0.25">
      <c r="A345" t="s">
        <v>482</v>
      </c>
      <c r="B345" t="s">
        <v>51</v>
      </c>
      <c r="C345" s="4">
        <v>21</v>
      </c>
      <c r="D345" s="4" t="s">
        <v>383</v>
      </c>
      <c r="E345" s="4" t="s">
        <v>487</v>
      </c>
      <c r="F345" s="29">
        <v>0.2</v>
      </c>
    </row>
    <row r="346" spans="1:6" x14ac:dyDescent="0.25">
      <c r="A346" t="s">
        <v>482</v>
      </c>
      <c r="B346" t="s">
        <v>51</v>
      </c>
      <c r="C346" s="4" t="s">
        <v>487</v>
      </c>
      <c r="D346" s="4" t="s">
        <v>262</v>
      </c>
      <c r="E346" s="4" t="s">
        <v>487</v>
      </c>
      <c r="F346" s="29"/>
    </row>
    <row r="347" spans="1:6" x14ac:dyDescent="0.25">
      <c r="A347" t="s">
        <v>482</v>
      </c>
      <c r="B347" t="s">
        <v>51</v>
      </c>
      <c r="C347" s="4" t="s">
        <v>487</v>
      </c>
      <c r="D347" s="4" t="s">
        <v>256</v>
      </c>
      <c r="E347" s="4" t="s">
        <v>9</v>
      </c>
      <c r="F347" s="29"/>
    </row>
    <row r="348" spans="1:6" x14ac:dyDescent="0.25">
      <c r="A348" t="s">
        <v>482</v>
      </c>
      <c r="B348" t="s">
        <v>51</v>
      </c>
      <c r="C348" s="4" t="s">
        <v>487</v>
      </c>
      <c r="D348" s="4" t="s">
        <v>220</v>
      </c>
      <c r="E348" s="4" t="s">
        <v>487</v>
      </c>
      <c r="F348" s="29"/>
    </row>
    <row r="349" spans="1:6" x14ac:dyDescent="0.25">
      <c r="A349" t="s">
        <v>482</v>
      </c>
      <c r="B349" t="s">
        <v>51</v>
      </c>
      <c r="C349" s="4" t="s">
        <v>487</v>
      </c>
      <c r="D349" s="4" t="s">
        <v>263</v>
      </c>
      <c r="E349" s="4" t="s">
        <v>487</v>
      </c>
      <c r="F349" s="29"/>
    </row>
    <row r="350" spans="1:6" x14ac:dyDescent="0.25">
      <c r="A350" t="s">
        <v>482</v>
      </c>
      <c r="B350" t="s">
        <v>51</v>
      </c>
      <c r="C350" s="4">
        <v>22</v>
      </c>
      <c r="D350" s="4" t="s">
        <v>364</v>
      </c>
      <c r="E350" s="4" t="s">
        <v>487</v>
      </c>
      <c r="F350" s="29">
        <v>0.2</v>
      </c>
    </row>
    <row r="351" spans="1:6" x14ac:dyDescent="0.25">
      <c r="A351" t="s">
        <v>482</v>
      </c>
      <c r="B351" t="s">
        <v>51</v>
      </c>
      <c r="C351" s="4" t="s">
        <v>487</v>
      </c>
      <c r="D351" s="4" t="s">
        <v>365</v>
      </c>
      <c r="E351" s="4" t="s">
        <v>36</v>
      </c>
      <c r="F351" s="29"/>
    </row>
    <row r="352" spans="1:6" x14ac:dyDescent="0.25">
      <c r="A352" t="s">
        <v>482</v>
      </c>
      <c r="B352" t="s">
        <v>51</v>
      </c>
      <c r="C352" s="4" t="s">
        <v>487</v>
      </c>
      <c r="D352" s="4" t="s">
        <v>257</v>
      </c>
      <c r="E352" s="4" t="s">
        <v>487</v>
      </c>
      <c r="F352" s="29"/>
    </row>
    <row r="353" spans="1:6" x14ac:dyDescent="0.25">
      <c r="A353" t="s">
        <v>482</v>
      </c>
      <c r="B353" t="s">
        <v>51</v>
      </c>
      <c r="C353" s="4" t="s">
        <v>487</v>
      </c>
      <c r="D353" s="4" t="s">
        <v>255</v>
      </c>
      <c r="E353" s="4" t="s">
        <v>487</v>
      </c>
      <c r="F353" s="29"/>
    </row>
    <row r="354" spans="1:6" x14ac:dyDescent="0.25">
      <c r="A354" t="s">
        <v>482</v>
      </c>
      <c r="B354" t="s">
        <v>51</v>
      </c>
      <c r="C354" s="4" t="s">
        <v>487</v>
      </c>
      <c r="D354" s="4" t="s">
        <v>256</v>
      </c>
      <c r="E354" s="4" t="s">
        <v>487</v>
      </c>
      <c r="F354" s="29"/>
    </row>
    <row r="355" spans="1:6" x14ac:dyDescent="0.25">
      <c r="A355" t="s">
        <v>482</v>
      </c>
      <c r="B355" t="s">
        <v>51</v>
      </c>
      <c r="C355" s="4">
        <v>23</v>
      </c>
      <c r="D355" s="4" t="s">
        <v>363</v>
      </c>
      <c r="E355" s="4" t="s">
        <v>487</v>
      </c>
      <c r="F355" s="29">
        <v>0.2</v>
      </c>
    </row>
    <row r="356" spans="1:6" x14ac:dyDescent="0.25">
      <c r="A356" t="s">
        <v>482</v>
      </c>
      <c r="B356" t="s">
        <v>51</v>
      </c>
      <c r="C356" s="4" t="s">
        <v>487</v>
      </c>
      <c r="D356" s="4" t="s">
        <v>258</v>
      </c>
      <c r="E356" s="4" t="s">
        <v>36</v>
      </c>
      <c r="F356" s="29"/>
    </row>
    <row r="357" spans="1:6" x14ac:dyDescent="0.25">
      <c r="A357" t="s">
        <v>482</v>
      </c>
      <c r="B357" t="s">
        <v>51</v>
      </c>
      <c r="C357" s="4" t="s">
        <v>487</v>
      </c>
      <c r="D357" s="4" t="s">
        <v>259</v>
      </c>
      <c r="E357" s="4" t="s">
        <v>487</v>
      </c>
      <c r="F357" s="29"/>
    </row>
    <row r="358" spans="1:6" x14ac:dyDescent="0.25">
      <c r="A358" t="s">
        <v>482</v>
      </c>
      <c r="B358" t="s">
        <v>51</v>
      </c>
      <c r="C358" s="4" t="s">
        <v>487</v>
      </c>
      <c r="D358" s="4" t="s">
        <v>260</v>
      </c>
      <c r="E358" s="4" t="s">
        <v>487</v>
      </c>
      <c r="F358" s="29"/>
    </row>
    <row r="359" spans="1:6" x14ac:dyDescent="0.25">
      <c r="A359" t="s">
        <v>482</v>
      </c>
      <c r="B359" t="s">
        <v>51</v>
      </c>
      <c r="C359" s="4" t="s">
        <v>487</v>
      </c>
      <c r="D359" s="4" t="s">
        <v>261</v>
      </c>
      <c r="E359" s="4" t="s">
        <v>487</v>
      </c>
      <c r="F359" s="29"/>
    </row>
    <row r="360" spans="1:6" x14ac:dyDescent="0.25">
      <c r="A360" t="s">
        <v>482</v>
      </c>
      <c r="B360" t="s">
        <v>51</v>
      </c>
      <c r="C360" s="4">
        <v>24</v>
      </c>
      <c r="D360" s="4" t="s">
        <v>472</v>
      </c>
      <c r="E360" s="4" t="s">
        <v>487</v>
      </c>
      <c r="F360" s="29">
        <v>0.2</v>
      </c>
    </row>
    <row r="361" spans="1:6" x14ac:dyDescent="0.25">
      <c r="A361" t="s">
        <v>482</v>
      </c>
      <c r="B361" t="s">
        <v>51</v>
      </c>
      <c r="C361" s="4" t="s">
        <v>487</v>
      </c>
      <c r="D361" s="4" t="s">
        <v>473</v>
      </c>
      <c r="E361" s="4" t="s">
        <v>487</v>
      </c>
      <c r="F361" s="29"/>
    </row>
    <row r="362" spans="1:6" x14ac:dyDescent="0.25">
      <c r="A362" t="s">
        <v>482</v>
      </c>
      <c r="B362" t="s">
        <v>51</v>
      </c>
      <c r="C362" s="4" t="s">
        <v>487</v>
      </c>
      <c r="D362" s="4" t="s">
        <v>474</v>
      </c>
      <c r="E362" s="4" t="s">
        <v>487</v>
      </c>
      <c r="F362" s="29"/>
    </row>
    <row r="363" spans="1:6" x14ac:dyDescent="0.25">
      <c r="A363" t="s">
        <v>482</v>
      </c>
      <c r="B363" t="s">
        <v>51</v>
      </c>
      <c r="C363" s="4" t="s">
        <v>487</v>
      </c>
      <c r="D363" s="4" t="s">
        <v>475</v>
      </c>
      <c r="E363" s="4" t="s">
        <v>17</v>
      </c>
      <c r="F363" s="29"/>
    </row>
    <row r="364" spans="1:6" x14ac:dyDescent="0.25">
      <c r="A364" t="s">
        <v>482</v>
      </c>
      <c r="B364" t="s">
        <v>51</v>
      </c>
      <c r="C364" s="4" t="s">
        <v>487</v>
      </c>
      <c r="D364" s="4" t="s">
        <v>476</v>
      </c>
      <c r="E364" s="4" t="s">
        <v>487</v>
      </c>
      <c r="F364" s="29"/>
    </row>
    <row r="365" spans="1:6" x14ac:dyDescent="0.25">
      <c r="A365" t="s">
        <v>482</v>
      </c>
      <c r="B365" t="s">
        <v>51</v>
      </c>
      <c r="C365" s="4">
        <v>25</v>
      </c>
      <c r="D365" s="4" t="s">
        <v>443</v>
      </c>
      <c r="E365" s="4" t="s">
        <v>487</v>
      </c>
      <c r="F365" s="29">
        <v>0.2</v>
      </c>
    </row>
    <row r="366" spans="1:6" x14ac:dyDescent="0.25">
      <c r="A366" t="s">
        <v>482</v>
      </c>
      <c r="B366" t="s">
        <v>51</v>
      </c>
      <c r="C366" s="4" t="s">
        <v>487</v>
      </c>
      <c r="D366" s="4" t="s">
        <v>424</v>
      </c>
      <c r="E366" s="4" t="s">
        <v>487</v>
      </c>
      <c r="F366" s="29"/>
    </row>
    <row r="367" spans="1:6" x14ac:dyDescent="0.25">
      <c r="A367" t="s">
        <v>482</v>
      </c>
      <c r="B367" t="s">
        <v>51</v>
      </c>
      <c r="C367" s="4" t="s">
        <v>487</v>
      </c>
      <c r="D367" s="4" t="s">
        <v>444</v>
      </c>
      <c r="E367" s="4" t="s">
        <v>9</v>
      </c>
      <c r="F367" s="29"/>
    </row>
    <row r="368" spans="1:6" x14ac:dyDescent="0.25">
      <c r="A368" t="s">
        <v>482</v>
      </c>
      <c r="B368" t="s">
        <v>51</v>
      </c>
      <c r="C368" s="4" t="s">
        <v>487</v>
      </c>
      <c r="D368" s="4" t="s">
        <v>426</v>
      </c>
      <c r="E368" s="4" t="s">
        <v>487</v>
      </c>
      <c r="F368" s="29"/>
    </row>
    <row r="369" spans="1:6" x14ac:dyDescent="0.25">
      <c r="A369" t="s">
        <v>482</v>
      </c>
      <c r="B369" t="s">
        <v>51</v>
      </c>
      <c r="C369" s="4" t="s">
        <v>487</v>
      </c>
      <c r="D369" s="4" t="s">
        <v>445</v>
      </c>
      <c r="E369" s="4" t="s">
        <v>487</v>
      </c>
      <c r="F369" s="29"/>
    </row>
    <row r="370" spans="1:6" x14ac:dyDescent="0.25">
      <c r="A370" t="s">
        <v>482</v>
      </c>
      <c r="B370" t="s">
        <v>51</v>
      </c>
      <c r="C370" s="4">
        <v>26</v>
      </c>
      <c r="D370" s="4" t="s">
        <v>466</v>
      </c>
      <c r="E370" s="4" t="s">
        <v>487</v>
      </c>
      <c r="F370" s="29">
        <v>0.2</v>
      </c>
    </row>
    <row r="371" spans="1:6" x14ac:dyDescent="0.25">
      <c r="A371" t="s">
        <v>482</v>
      </c>
      <c r="B371" t="s">
        <v>51</v>
      </c>
      <c r="C371" s="4" t="s">
        <v>487</v>
      </c>
      <c r="D371" s="4" t="s">
        <v>463</v>
      </c>
      <c r="E371" s="4" t="s">
        <v>487</v>
      </c>
      <c r="F371" s="29"/>
    </row>
    <row r="372" spans="1:6" x14ac:dyDescent="0.25">
      <c r="A372" t="s">
        <v>482</v>
      </c>
      <c r="B372" t="s">
        <v>51</v>
      </c>
      <c r="C372" s="4" t="s">
        <v>487</v>
      </c>
      <c r="D372" s="4" t="s">
        <v>462</v>
      </c>
      <c r="E372" s="4" t="s">
        <v>487</v>
      </c>
      <c r="F372" s="29"/>
    </row>
    <row r="373" spans="1:6" x14ac:dyDescent="0.25">
      <c r="A373" t="s">
        <v>482</v>
      </c>
      <c r="B373" t="s">
        <v>51</v>
      </c>
      <c r="C373" s="4" t="s">
        <v>487</v>
      </c>
      <c r="D373" s="4" t="s">
        <v>467</v>
      </c>
      <c r="E373" s="4" t="s">
        <v>17</v>
      </c>
      <c r="F373" s="29"/>
    </row>
    <row r="374" spans="1:6" x14ac:dyDescent="0.25">
      <c r="A374" t="s">
        <v>482</v>
      </c>
      <c r="B374" t="s">
        <v>51</v>
      </c>
      <c r="C374" s="4" t="s">
        <v>487</v>
      </c>
      <c r="D374" s="4" t="s">
        <v>468</v>
      </c>
      <c r="E374" s="4" t="s">
        <v>487</v>
      </c>
      <c r="F374" s="29"/>
    </row>
    <row r="375" spans="1:6" x14ac:dyDescent="0.25">
      <c r="A375" t="s">
        <v>482</v>
      </c>
      <c r="B375" t="s">
        <v>51</v>
      </c>
      <c r="C375" s="4">
        <v>27</v>
      </c>
      <c r="D375" s="4" t="s">
        <v>422</v>
      </c>
      <c r="E375" s="4" t="s">
        <v>487</v>
      </c>
      <c r="F375" s="29">
        <v>0.2</v>
      </c>
    </row>
    <row r="376" spans="1:6" x14ac:dyDescent="0.25">
      <c r="A376" t="s">
        <v>482</v>
      </c>
      <c r="B376" t="s">
        <v>51</v>
      </c>
      <c r="C376" s="4" t="s">
        <v>487</v>
      </c>
      <c r="D376" s="4" t="s">
        <v>423</v>
      </c>
      <c r="E376" s="4" t="s">
        <v>487</v>
      </c>
      <c r="F376" s="29"/>
    </row>
    <row r="377" spans="1:6" x14ac:dyDescent="0.25">
      <c r="A377" t="s">
        <v>482</v>
      </c>
      <c r="B377" t="s">
        <v>51</v>
      </c>
      <c r="C377" s="4" t="s">
        <v>487</v>
      </c>
      <c r="D377" s="4" t="s">
        <v>425</v>
      </c>
      <c r="E377" s="4" t="s">
        <v>487</v>
      </c>
      <c r="F377" s="29"/>
    </row>
    <row r="378" spans="1:6" x14ac:dyDescent="0.25">
      <c r="A378" t="s">
        <v>482</v>
      </c>
      <c r="B378" t="s">
        <v>51</v>
      </c>
      <c r="C378" s="4" t="s">
        <v>487</v>
      </c>
      <c r="D378" s="4" t="s">
        <v>426</v>
      </c>
      <c r="E378" s="4" t="s">
        <v>487</v>
      </c>
      <c r="F378" s="29"/>
    </row>
    <row r="379" spans="1:6" x14ac:dyDescent="0.25">
      <c r="A379" t="s">
        <v>482</v>
      </c>
      <c r="B379" t="s">
        <v>51</v>
      </c>
      <c r="C379" s="4" t="s">
        <v>487</v>
      </c>
      <c r="D379" s="4" t="s">
        <v>424</v>
      </c>
      <c r="E379" s="4" t="s">
        <v>67</v>
      </c>
      <c r="F379" s="29"/>
    </row>
    <row r="380" spans="1:6" x14ac:dyDescent="0.25">
      <c r="A380" t="s">
        <v>482</v>
      </c>
      <c r="B380" t="s">
        <v>51</v>
      </c>
      <c r="C380" s="4">
        <v>28</v>
      </c>
      <c r="D380" s="4" t="s">
        <v>446</v>
      </c>
      <c r="E380" s="4" t="s">
        <v>487</v>
      </c>
      <c r="F380" s="29">
        <v>0.2</v>
      </c>
    </row>
    <row r="381" spans="1:6" x14ac:dyDescent="0.25">
      <c r="A381" t="s">
        <v>482</v>
      </c>
      <c r="B381" t="s">
        <v>51</v>
      </c>
      <c r="C381" s="4" t="s">
        <v>487</v>
      </c>
      <c r="D381" s="4" t="s">
        <v>449</v>
      </c>
      <c r="E381" s="4" t="s">
        <v>487</v>
      </c>
      <c r="F381" s="29"/>
    </row>
    <row r="382" spans="1:6" x14ac:dyDescent="0.25">
      <c r="A382" t="s">
        <v>482</v>
      </c>
      <c r="B382" t="s">
        <v>51</v>
      </c>
      <c r="C382" s="4" t="s">
        <v>487</v>
      </c>
      <c r="D382" s="4" t="s">
        <v>450</v>
      </c>
      <c r="E382" s="4" t="s">
        <v>487</v>
      </c>
      <c r="F382" s="29"/>
    </row>
    <row r="383" spans="1:6" x14ac:dyDescent="0.25">
      <c r="A383" t="s">
        <v>482</v>
      </c>
      <c r="B383" t="s">
        <v>51</v>
      </c>
      <c r="C383" s="4" t="s">
        <v>487</v>
      </c>
      <c r="D383" s="4" t="s">
        <v>447</v>
      </c>
      <c r="E383" s="4" t="s">
        <v>17</v>
      </c>
      <c r="F383" s="29"/>
    </row>
    <row r="384" spans="1:6" x14ac:dyDescent="0.25">
      <c r="A384" t="s">
        <v>482</v>
      </c>
      <c r="B384" t="s">
        <v>51</v>
      </c>
      <c r="C384" s="4" t="s">
        <v>487</v>
      </c>
      <c r="D384" s="4" t="s">
        <v>448</v>
      </c>
      <c r="E384" s="4" t="s">
        <v>487</v>
      </c>
      <c r="F384" s="29"/>
    </row>
    <row r="385" spans="1:6" x14ac:dyDescent="0.25">
      <c r="A385" t="s">
        <v>482</v>
      </c>
      <c r="B385" t="s">
        <v>51</v>
      </c>
      <c r="C385" s="4">
        <v>29</v>
      </c>
      <c r="D385" s="4" t="s">
        <v>417</v>
      </c>
      <c r="E385" s="4" t="s">
        <v>487</v>
      </c>
      <c r="F385" s="29"/>
    </row>
    <row r="386" spans="1:6" x14ac:dyDescent="0.25">
      <c r="A386" t="s">
        <v>482</v>
      </c>
      <c r="B386" t="s">
        <v>51</v>
      </c>
      <c r="C386" s="4" t="s">
        <v>487</v>
      </c>
      <c r="D386" s="4" t="s">
        <v>418</v>
      </c>
      <c r="E386" s="4" t="s">
        <v>487</v>
      </c>
      <c r="F386" s="29"/>
    </row>
    <row r="387" spans="1:6" x14ac:dyDescent="0.25">
      <c r="A387" t="s">
        <v>482</v>
      </c>
      <c r="B387" t="s">
        <v>51</v>
      </c>
      <c r="C387" s="4" t="s">
        <v>487</v>
      </c>
      <c r="D387" s="4" t="s">
        <v>419</v>
      </c>
      <c r="E387" s="4" t="s">
        <v>9</v>
      </c>
      <c r="F387" s="29"/>
    </row>
    <row r="388" spans="1:6" x14ac:dyDescent="0.25">
      <c r="A388" t="s">
        <v>482</v>
      </c>
      <c r="B388" t="s">
        <v>51</v>
      </c>
      <c r="C388" s="4" t="s">
        <v>487</v>
      </c>
      <c r="D388" s="4" t="s">
        <v>420</v>
      </c>
      <c r="E388" s="4" t="s">
        <v>487</v>
      </c>
      <c r="F388" s="29"/>
    </row>
    <row r="389" spans="1:6" x14ac:dyDescent="0.25">
      <c r="A389" t="s">
        <v>482</v>
      </c>
      <c r="B389" t="s">
        <v>51</v>
      </c>
      <c r="C389" s="4" t="s">
        <v>487</v>
      </c>
      <c r="D389" s="4" t="s">
        <v>421</v>
      </c>
      <c r="E389" s="4" t="s">
        <v>487</v>
      </c>
      <c r="F389" s="29"/>
    </row>
    <row r="390" spans="1:6" x14ac:dyDescent="0.25">
      <c r="C390" s="4"/>
      <c r="D390" s="28" t="s">
        <v>483</v>
      </c>
      <c r="E390" s="4"/>
      <c r="F390" s="29"/>
    </row>
    <row r="391" spans="1:6" x14ac:dyDescent="0.25">
      <c r="C391" s="4"/>
      <c r="D391" s="28" t="s">
        <v>488</v>
      </c>
      <c r="E391" s="4"/>
      <c r="F391" s="29"/>
    </row>
    <row r="392" spans="1:6" x14ac:dyDescent="0.25">
      <c r="A392" t="s">
        <v>483</v>
      </c>
      <c r="B392" t="s">
        <v>10</v>
      </c>
      <c r="C392" s="4">
        <v>1</v>
      </c>
      <c r="D392" s="4" t="s">
        <v>132</v>
      </c>
      <c r="E392" s="4" t="s">
        <v>487</v>
      </c>
      <c r="F392" s="29">
        <v>0.2</v>
      </c>
    </row>
    <row r="393" spans="1:6" x14ac:dyDescent="0.25">
      <c r="A393" t="s">
        <v>483</v>
      </c>
      <c r="B393" t="s">
        <v>10</v>
      </c>
      <c r="C393" s="4" t="s">
        <v>487</v>
      </c>
      <c r="D393" s="4" t="s">
        <v>133</v>
      </c>
      <c r="E393" s="4" t="s">
        <v>487</v>
      </c>
      <c r="F393" s="29"/>
    </row>
    <row r="394" spans="1:6" x14ac:dyDescent="0.25">
      <c r="A394" t="s">
        <v>483</v>
      </c>
      <c r="B394" t="s">
        <v>10</v>
      </c>
      <c r="C394" s="4" t="s">
        <v>487</v>
      </c>
      <c r="D394" s="4" t="s">
        <v>134</v>
      </c>
      <c r="E394" s="4" t="s">
        <v>9</v>
      </c>
      <c r="F394" s="29"/>
    </row>
    <row r="395" spans="1:6" x14ac:dyDescent="0.25">
      <c r="A395" t="s">
        <v>483</v>
      </c>
      <c r="B395" t="s">
        <v>10</v>
      </c>
      <c r="C395" s="4" t="s">
        <v>487</v>
      </c>
      <c r="D395" s="4" t="s">
        <v>91</v>
      </c>
      <c r="E395" s="4" t="s">
        <v>487</v>
      </c>
      <c r="F395" s="29"/>
    </row>
    <row r="396" spans="1:6" x14ac:dyDescent="0.25">
      <c r="A396" t="s">
        <v>483</v>
      </c>
      <c r="B396" t="s">
        <v>10</v>
      </c>
      <c r="C396" s="4" t="s">
        <v>487</v>
      </c>
      <c r="D396" s="4" t="s">
        <v>106</v>
      </c>
      <c r="E396" s="4" t="s">
        <v>487</v>
      </c>
      <c r="F396" s="29"/>
    </row>
    <row r="397" spans="1:6" x14ac:dyDescent="0.25">
      <c r="A397" t="s">
        <v>483</v>
      </c>
      <c r="B397" t="s">
        <v>10</v>
      </c>
      <c r="C397" s="4">
        <v>2</v>
      </c>
      <c r="D397" s="4" t="s">
        <v>355</v>
      </c>
      <c r="E397" s="4" t="s">
        <v>487</v>
      </c>
      <c r="F397" s="29">
        <v>0.2</v>
      </c>
    </row>
    <row r="398" spans="1:6" x14ac:dyDescent="0.25">
      <c r="A398" t="s">
        <v>483</v>
      </c>
      <c r="B398" t="s">
        <v>10</v>
      </c>
      <c r="C398" s="4" t="s">
        <v>487</v>
      </c>
      <c r="D398" s="4" t="s">
        <v>138</v>
      </c>
      <c r="E398" s="4" t="s">
        <v>487</v>
      </c>
      <c r="F398" s="29"/>
    </row>
    <row r="399" spans="1:6" x14ac:dyDescent="0.25">
      <c r="A399" t="s">
        <v>483</v>
      </c>
      <c r="B399" t="s">
        <v>10</v>
      </c>
      <c r="C399" s="4" t="s">
        <v>487</v>
      </c>
      <c r="D399" s="4" t="s">
        <v>139</v>
      </c>
      <c r="E399" s="4" t="s">
        <v>9</v>
      </c>
      <c r="F399" s="29"/>
    </row>
    <row r="400" spans="1:6" x14ac:dyDescent="0.25">
      <c r="A400" t="s">
        <v>483</v>
      </c>
      <c r="B400" t="s">
        <v>10</v>
      </c>
      <c r="C400" s="4" t="s">
        <v>487</v>
      </c>
      <c r="D400" s="4" t="s">
        <v>140</v>
      </c>
      <c r="E400" s="4" t="s">
        <v>487</v>
      </c>
      <c r="F400" s="29"/>
    </row>
    <row r="401" spans="1:6" x14ac:dyDescent="0.25">
      <c r="A401" t="s">
        <v>483</v>
      </c>
      <c r="B401" t="s">
        <v>10</v>
      </c>
      <c r="C401" s="4" t="s">
        <v>487</v>
      </c>
      <c r="D401" s="4" t="s">
        <v>128</v>
      </c>
      <c r="E401" s="4" t="s">
        <v>487</v>
      </c>
      <c r="F401" s="29"/>
    </row>
    <row r="402" spans="1:6" x14ac:dyDescent="0.25">
      <c r="A402" t="s">
        <v>483</v>
      </c>
      <c r="B402" t="s">
        <v>10</v>
      </c>
      <c r="C402" s="4">
        <v>3</v>
      </c>
      <c r="D402" s="4" t="s">
        <v>149</v>
      </c>
      <c r="E402" s="4" t="s">
        <v>487</v>
      </c>
      <c r="F402" s="29">
        <v>0.2</v>
      </c>
    </row>
    <row r="403" spans="1:6" x14ac:dyDescent="0.25">
      <c r="A403" t="s">
        <v>483</v>
      </c>
      <c r="B403" t="s">
        <v>10</v>
      </c>
      <c r="C403" s="4" t="s">
        <v>487</v>
      </c>
      <c r="D403" s="4" t="s">
        <v>150</v>
      </c>
      <c r="E403" s="4" t="s">
        <v>36</v>
      </c>
      <c r="F403" s="29"/>
    </row>
    <row r="404" spans="1:6" x14ac:dyDescent="0.25">
      <c r="A404" t="s">
        <v>483</v>
      </c>
      <c r="B404" t="s">
        <v>10</v>
      </c>
      <c r="C404" s="4" t="s">
        <v>487</v>
      </c>
      <c r="D404" s="4" t="s">
        <v>151</v>
      </c>
      <c r="E404" s="4" t="s">
        <v>487</v>
      </c>
      <c r="F404" s="29"/>
    </row>
    <row r="405" spans="1:6" x14ac:dyDescent="0.25">
      <c r="A405" t="s">
        <v>483</v>
      </c>
      <c r="B405" t="s">
        <v>10</v>
      </c>
      <c r="C405" s="4" t="s">
        <v>487</v>
      </c>
      <c r="D405" s="4" t="s">
        <v>152</v>
      </c>
      <c r="E405" s="4" t="s">
        <v>487</v>
      </c>
      <c r="F405" s="29"/>
    </row>
    <row r="406" spans="1:6" x14ac:dyDescent="0.25">
      <c r="A406" t="s">
        <v>483</v>
      </c>
      <c r="B406" t="s">
        <v>10</v>
      </c>
      <c r="C406" s="4" t="s">
        <v>487</v>
      </c>
      <c r="D406" s="4" t="s">
        <v>153</v>
      </c>
      <c r="E406" s="4" t="s">
        <v>487</v>
      </c>
      <c r="F406" s="29"/>
    </row>
    <row r="407" spans="1:6" x14ac:dyDescent="0.25">
      <c r="A407" t="s">
        <v>483</v>
      </c>
      <c r="B407" t="s">
        <v>10</v>
      </c>
      <c r="C407" s="4">
        <v>4</v>
      </c>
      <c r="D407" s="4" t="s">
        <v>354</v>
      </c>
      <c r="E407" s="4" t="s">
        <v>487</v>
      </c>
      <c r="F407" s="29">
        <v>0.2</v>
      </c>
    </row>
    <row r="408" spans="1:6" x14ac:dyDescent="0.25">
      <c r="A408" t="s">
        <v>483</v>
      </c>
      <c r="B408" t="s">
        <v>10</v>
      </c>
      <c r="C408" s="4" t="s">
        <v>487</v>
      </c>
      <c r="D408" s="4" t="s">
        <v>141</v>
      </c>
      <c r="E408" s="4" t="s">
        <v>36</v>
      </c>
      <c r="F408" s="29"/>
    </row>
    <row r="409" spans="1:6" x14ac:dyDescent="0.25">
      <c r="A409" t="s">
        <v>483</v>
      </c>
      <c r="B409" t="s">
        <v>10</v>
      </c>
      <c r="C409" s="4" t="s">
        <v>487</v>
      </c>
      <c r="D409" s="4" t="s">
        <v>96</v>
      </c>
      <c r="E409" s="4" t="s">
        <v>487</v>
      </c>
      <c r="F409" s="29"/>
    </row>
    <row r="410" spans="1:6" x14ac:dyDescent="0.25">
      <c r="A410" t="s">
        <v>483</v>
      </c>
      <c r="B410" t="s">
        <v>10</v>
      </c>
      <c r="C410" s="4" t="s">
        <v>487</v>
      </c>
      <c r="D410" s="4" t="s">
        <v>142</v>
      </c>
      <c r="E410" s="4" t="s">
        <v>487</v>
      </c>
      <c r="F410" s="29"/>
    </row>
    <row r="411" spans="1:6" x14ac:dyDescent="0.25">
      <c r="A411" t="s">
        <v>483</v>
      </c>
      <c r="B411" t="s">
        <v>10</v>
      </c>
      <c r="C411" s="4" t="s">
        <v>487</v>
      </c>
      <c r="D411" s="4" t="s">
        <v>143</v>
      </c>
      <c r="E411" s="4" t="s">
        <v>487</v>
      </c>
      <c r="F411" s="29"/>
    </row>
    <row r="412" spans="1:6" x14ac:dyDescent="0.25">
      <c r="A412" t="s">
        <v>483</v>
      </c>
      <c r="B412" t="s">
        <v>10</v>
      </c>
      <c r="C412" s="4">
        <v>5</v>
      </c>
      <c r="D412" s="4" t="s">
        <v>234</v>
      </c>
      <c r="E412" s="4" t="s">
        <v>487</v>
      </c>
      <c r="F412" s="29">
        <v>0.2</v>
      </c>
    </row>
    <row r="413" spans="1:6" x14ac:dyDescent="0.25">
      <c r="A413" t="s">
        <v>483</v>
      </c>
      <c r="B413" t="s">
        <v>10</v>
      </c>
      <c r="C413" s="4" t="s">
        <v>487</v>
      </c>
      <c r="D413" s="4" t="s">
        <v>237</v>
      </c>
      <c r="E413" s="4" t="s">
        <v>487</v>
      </c>
      <c r="F413" s="29"/>
    </row>
    <row r="414" spans="1:6" x14ac:dyDescent="0.25">
      <c r="A414" t="s">
        <v>483</v>
      </c>
      <c r="B414" t="s">
        <v>10</v>
      </c>
      <c r="C414" s="4" t="s">
        <v>487</v>
      </c>
      <c r="D414" s="4" t="s">
        <v>236</v>
      </c>
      <c r="E414" s="4" t="s">
        <v>9</v>
      </c>
      <c r="F414" s="29"/>
    </row>
    <row r="415" spans="1:6" x14ac:dyDescent="0.25">
      <c r="A415" t="s">
        <v>483</v>
      </c>
      <c r="B415" t="s">
        <v>10</v>
      </c>
      <c r="C415" s="4" t="s">
        <v>487</v>
      </c>
      <c r="D415" s="4" t="s">
        <v>235</v>
      </c>
      <c r="E415" s="4" t="s">
        <v>487</v>
      </c>
      <c r="F415" s="29"/>
    </row>
    <row r="416" spans="1:6" x14ac:dyDescent="0.25">
      <c r="A416" t="s">
        <v>483</v>
      </c>
      <c r="B416" t="s">
        <v>10</v>
      </c>
      <c r="C416" s="4" t="s">
        <v>487</v>
      </c>
      <c r="D416" s="4" t="s">
        <v>238</v>
      </c>
      <c r="E416" s="4" t="s">
        <v>487</v>
      </c>
      <c r="F416" s="29"/>
    </row>
    <row r="417" spans="1:6" x14ac:dyDescent="0.25">
      <c r="A417" t="s">
        <v>483</v>
      </c>
      <c r="B417" t="s">
        <v>10</v>
      </c>
      <c r="C417" s="4">
        <v>6</v>
      </c>
      <c r="D417" s="4" t="s">
        <v>125</v>
      </c>
      <c r="E417" s="4" t="s">
        <v>487</v>
      </c>
      <c r="F417" s="29">
        <v>0.2</v>
      </c>
    </row>
    <row r="418" spans="1:6" x14ac:dyDescent="0.25">
      <c r="A418" t="s">
        <v>483</v>
      </c>
      <c r="B418" t="s">
        <v>10</v>
      </c>
      <c r="C418" s="4" t="s">
        <v>487</v>
      </c>
      <c r="D418" s="4" t="s">
        <v>96</v>
      </c>
      <c r="E418" s="4" t="s">
        <v>487</v>
      </c>
      <c r="F418" s="29"/>
    </row>
    <row r="419" spans="1:6" x14ac:dyDescent="0.25">
      <c r="A419" t="s">
        <v>483</v>
      </c>
      <c r="B419" t="s">
        <v>10</v>
      </c>
      <c r="C419" s="4" t="s">
        <v>487</v>
      </c>
      <c r="D419" s="4" t="s">
        <v>126</v>
      </c>
      <c r="E419" s="4" t="s">
        <v>9</v>
      </c>
      <c r="F419" s="29"/>
    </row>
    <row r="420" spans="1:6" x14ac:dyDescent="0.25">
      <c r="A420" t="s">
        <v>483</v>
      </c>
      <c r="B420" t="s">
        <v>10</v>
      </c>
      <c r="C420" s="4" t="s">
        <v>487</v>
      </c>
      <c r="D420" s="4" t="s">
        <v>127</v>
      </c>
      <c r="E420" s="4" t="s">
        <v>487</v>
      </c>
      <c r="F420" s="29"/>
    </row>
    <row r="421" spans="1:6" x14ac:dyDescent="0.25">
      <c r="A421" t="s">
        <v>483</v>
      </c>
      <c r="B421" t="s">
        <v>10</v>
      </c>
      <c r="C421" s="4" t="s">
        <v>487</v>
      </c>
      <c r="D421" s="4" t="s">
        <v>128</v>
      </c>
      <c r="E421" s="4" t="s">
        <v>487</v>
      </c>
      <c r="F421" s="29"/>
    </row>
    <row r="422" spans="1:6" x14ac:dyDescent="0.25">
      <c r="A422" t="s">
        <v>483</v>
      </c>
      <c r="B422" t="s">
        <v>10</v>
      </c>
      <c r="C422" s="4">
        <v>7</v>
      </c>
      <c r="D422" s="4" t="s">
        <v>353</v>
      </c>
      <c r="E422" s="4" t="s">
        <v>487</v>
      </c>
      <c r="F422" s="29">
        <v>0.2</v>
      </c>
    </row>
    <row r="423" spans="1:6" x14ac:dyDescent="0.25">
      <c r="A423" t="s">
        <v>483</v>
      </c>
      <c r="B423" t="s">
        <v>10</v>
      </c>
      <c r="C423" s="4" t="s">
        <v>487</v>
      </c>
      <c r="D423" s="4" t="s">
        <v>207</v>
      </c>
      <c r="E423" s="4" t="s">
        <v>36</v>
      </c>
      <c r="F423" s="29"/>
    </row>
    <row r="424" spans="1:6" x14ac:dyDescent="0.25">
      <c r="A424" t="s">
        <v>483</v>
      </c>
      <c r="B424" t="s">
        <v>10</v>
      </c>
      <c r="C424" s="4" t="s">
        <v>487</v>
      </c>
      <c r="D424" s="4" t="s">
        <v>106</v>
      </c>
      <c r="E424" s="4" t="s">
        <v>487</v>
      </c>
      <c r="F424" s="29"/>
    </row>
    <row r="425" spans="1:6" x14ac:dyDescent="0.25">
      <c r="A425" t="s">
        <v>483</v>
      </c>
      <c r="B425" t="s">
        <v>10</v>
      </c>
      <c r="C425" s="4" t="s">
        <v>487</v>
      </c>
      <c r="D425" s="4" t="s">
        <v>127</v>
      </c>
      <c r="E425" s="4" t="s">
        <v>487</v>
      </c>
      <c r="F425" s="29"/>
    </row>
    <row r="426" spans="1:6" x14ac:dyDescent="0.25">
      <c r="A426" t="s">
        <v>483</v>
      </c>
      <c r="B426" t="s">
        <v>10</v>
      </c>
      <c r="C426" s="4" t="s">
        <v>487</v>
      </c>
      <c r="D426" s="4" t="s">
        <v>137</v>
      </c>
      <c r="E426" s="4" t="s">
        <v>487</v>
      </c>
      <c r="F426" s="29"/>
    </row>
    <row r="427" spans="1:6" x14ac:dyDescent="0.25">
      <c r="A427" t="s">
        <v>483</v>
      </c>
      <c r="B427" t="s">
        <v>10</v>
      </c>
      <c r="C427" s="4">
        <v>8</v>
      </c>
      <c r="D427" s="4" t="s">
        <v>352</v>
      </c>
      <c r="E427" s="4" t="s">
        <v>487</v>
      </c>
      <c r="F427" s="29">
        <v>0.2</v>
      </c>
    </row>
    <row r="428" spans="1:6" x14ac:dyDescent="0.25">
      <c r="A428" t="s">
        <v>483</v>
      </c>
      <c r="B428" t="s">
        <v>10</v>
      </c>
      <c r="C428" s="4" t="s">
        <v>487</v>
      </c>
      <c r="D428" s="4" t="s">
        <v>106</v>
      </c>
      <c r="E428" s="4" t="s">
        <v>487</v>
      </c>
      <c r="F428" s="29"/>
    </row>
    <row r="429" spans="1:6" x14ac:dyDescent="0.25">
      <c r="A429" t="s">
        <v>483</v>
      </c>
      <c r="B429" t="s">
        <v>10</v>
      </c>
      <c r="C429" s="4" t="s">
        <v>487</v>
      </c>
      <c r="D429" s="4" t="s">
        <v>148</v>
      </c>
      <c r="E429" s="4" t="s">
        <v>9</v>
      </c>
      <c r="F429" s="29"/>
    </row>
    <row r="430" spans="1:6" x14ac:dyDescent="0.25">
      <c r="A430" t="s">
        <v>483</v>
      </c>
      <c r="B430" t="s">
        <v>10</v>
      </c>
      <c r="C430" s="4" t="s">
        <v>487</v>
      </c>
      <c r="D430" s="4" t="s">
        <v>134</v>
      </c>
      <c r="E430" s="4" t="s">
        <v>487</v>
      </c>
      <c r="F430" s="29"/>
    </row>
    <row r="431" spans="1:6" x14ac:dyDescent="0.25">
      <c r="A431" t="s">
        <v>483</v>
      </c>
      <c r="B431" t="s">
        <v>10</v>
      </c>
      <c r="C431" s="4" t="s">
        <v>487</v>
      </c>
      <c r="D431" s="4" t="s">
        <v>144</v>
      </c>
      <c r="E431" s="4" t="s">
        <v>487</v>
      </c>
      <c r="F431" s="29"/>
    </row>
    <row r="432" spans="1:6" x14ac:dyDescent="0.25">
      <c r="A432" t="s">
        <v>483</v>
      </c>
      <c r="B432" t="s">
        <v>10</v>
      </c>
      <c r="C432" s="4">
        <v>9</v>
      </c>
      <c r="D432" s="4" t="s">
        <v>351</v>
      </c>
      <c r="E432" s="4" t="s">
        <v>487</v>
      </c>
      <c r="F432" s="29">
        <v>0.2</v>
      </c>
    </row>
    <row r="433" spans="1:6" x14ac:dyDescent="0.25">
      <c r="A433" t="s">
        <v>483</v>
      </c>
      <c r="B433" t="s">
        <v>10</v>
      </c>
      <c r="C433" s="4" t="s">
        <v>487</v>
      </c>
      <c r="D433" s="4" t="s">
        <v>155</v>
      </c>
      <c r="E433" s="4" t="s">
        <v>36</v>
      </c>
      <c r="F433" s="29"/>
    </row>
    <row r="434" spans="1:6" x14ac:dyDescent="0.25">
      <c r="A434" t="s">
        <v>483</v>
      </c>
      <c r="B434" t="s">
        <v>10</v>
      </c>
      <c r="C434" s="4" t="s">
        <v>487</v>
      </c>
      <c r="D434" s="4" t="s">
        <v>91</v>
      </c>
      <c r="E434" s="4" t="s">
        <v>487</v>
      </c>
      <c r="F434" s="29"/>
    </row>
    <row r="435" spans="1:6" x14ac:dyDescent="0.25">
      <c r="A435" t="s">
        <v>483</v>
      </c>
      <c r="B435" t="s">
        <v>10</v>
      </c>
      <c r="C435" s="4" t="s">
        <v>487</v>
      </c>
      <c r="D435" s="4" t="s">
        <v>156</v>
      </c>
      <c r="E435" s="4" t="s">
        <v>487</v>
      </c>
      <c r="F435" s="29"/>
    </row>
    <row r="436" spans="1:6" x14ac:dyDescent="0.25">
      <c r="A436" t="s">
        <v>483</v>
      </c>
      <c r="B436" t="s">
        <v>10</v>
      </c>
      <c r="C436" s="4" t="s">
        <v>487</v>
      </c>
      <c r="D436" s="4" t="s">
        <v>127</v>
      </c>
      <c r="E436" s="4" t="s">
        <v>487</v>
      </c>
      <c r="F436" s="29"/>
    </row>
    <row r="437" spans="1:6" x14ac:dyDescent="0.25">
      <c r="A437" t="s">
        <v>483</v>
      </c>
      <c r="B437" t="s">
        <v>10</v>
      </c>
      <c r="C437" s="4">
        <v>10</v>
      </c>
      <c r="D437" s="4" t="s">
        <v>154</v>
      </c>
      <c r="E437" s="4" t="s">
        <v>487</v>
      </c>
      <c r="F437" s="29">
        <v>0.2</v>
      </c>
    </row>
    <row r="438" spans="1:6" x14ac:dyDescent="0.25">
      <c r="A438" t="s">
        <v>483</v>
      </c>
      <c r="B438" t="s">
        <v>10</v>
      </c>
      <c r="C438" s="4" t="s">
        <v>487</v>
      </c>
      <c r="D438" s="4" t="s">
        <v>96</v>
      </c>
      <c r="E438" s="4" t="s">
        <v>36</v>
      </c>
      <c r="F438" s="29"/>
    </row>
    <row r="439" spans="1:6" x14ac:dyDescent="0.25">
      <c r="A439" t="s">
        <v>483</v>
      </c>
      <c r="B439" t="s">
        <v>10</v>
      </c>
      <c r="C439" s="4" t="s">
        <v>487</v>
      </c>
      <c r="D439" s="4" t="s">
        <v>131</v>
      </c>
      <c r="E439" s="4" t="s">
        <v>487</v>
      </c>
      <c r="F439" s="29"/>
    </row>
    <row r="440" spans="1:6" x14ac:dyDescent="0.25">
      <c r="A440" t="s">
        <v>483</v>
      </c>
      <c r="B440" t="s">
        <v>10</v>
      </c>
      <c r="C440" s="4" t="s">
        <v>487</v>
      </c>
      <c r="D440" s="4" t="s">
        <v>137</v>
      </c>
      <c r="E440" s="4" t="s">
        <v>487</v>
      </c>
      <c r="F440" s="29"/>
    </row>
    <row r="441" spans="1:6" x14ac:dyDescent="0.25">
      <c r="A441" t="s">
        <v>483</v>
      </c>
      <c r="B441" t="s">
        <v>10</v>
      </c>
      <c r="C441" s="4" t="s">
        <v>487</v>
      </c>
      <c r="D441" s="4" t="s">
        <v>126</v>
      </c>
      <c r="E441" s="4" t="s">
        <v>487</v>
      </c>
      <c r="F441" s="29"/>
    </row>
    <row r="442" spans="1:6" x14ac:dyDescent="0.25">
      <c r="A442" t="s">
        <v>483</v>
      </c>
      <c r="B442" t="s">
        <v>10</v>
      </c>
      <c r="C442" s="4">
        <v>11</v>
      </c>
      <c r="D442" s="4" t="s">
        <v>135</v>
      </c>
      <c r="E442" s="4" t="s">
        <v>487</v>
      </c>
      <c r="F442" s="29">
        <v>0.2</v>
      </c>
    </row>
    <row r="443" spans="1:6" x14ac:dyDescent="0.25">
      <c r="A443" t="s">
        <v>483</v>
      </c>
      <c r="B443" t="s">
        <v>10</v>
      </c>
      <c r="C443" s="4" t="s">
        <v>487</v>
      </c>
      <c r="D443" s="4" t="s">
        <v>136</v>
      </c>
      <c r="E443" s="4" t="s">
        <v>36</v>
      </c>
      <c r="F443" s="29"/>
    </row>
    <row r="444" spans="1:6" x14ac:dyDescent="0.25">
      <c r="A444" t="s">
        <v>483</v>
      </c>
      <c r="B444" t="s">
        <v>10</v>
      </c>
      <c r="C444" s="4" t="s">
        <v>487</v>
      </c>
      <c r="D444" s="4" t="s">
        <v>127</v>
      </c>
      <c r="E444" s="4" t="s">
        <v>487</v>
      </c>
      <c r="F444" s="29"/>
    </row>
    <row r="445" spans="1:6" x14ac:dyDescent="0.25">
      <c r="A445" t="s">
        <v>483</v>
      </c>
      <c r="B445" t="s">
        <v>10</v>
      </c>
      <c r="C445" s="4" t="s">
        <v>487</v>
      </c>
      <c r="D445" s="4" t="s">
        <v>96</v>
      </c>
      <c r="E445" s="4" t="s">
        <v>487</v>
      </c>
      <c r="F445" s="29"/>
    </row>
    <row r="446" spans="1:6" x14ac:dyDescent="0.25">
      <c r="A446" t="s">
        <v>483</v>
      </c>
      <c r="B446" t="s">
        <v>10</v>
      </c>
      <c r="C446" s="4" t="s">
        <v>487</v>
      </c>
      <c r="D446" s="4" t="s">
        <v>137</v>
      </c>
      <c r="E446" s="4" t="s">
        <v>487</v>
      </c>
      <c r="F446" s="29"/>
    </row>
    <row r="447" spans="1:6" x14ac:dyDescent="0.25">
      <c r="A447" t="s">
        <v>483</v>
      </c>
      <c r="B447" t="s">
        <v>10</v>
      </c>
      <c r="C447" s="4">
        <v>12</v>
      </c>
      <c r="D447" s="4" t="s">
        <v>129</v>
      </c>
      <c r="E447" s="4" t="s">
        <v>487</v>
      </c>
      <c r="F447" s="29">
        <v>0.2</v>
      </c>
    </row>
    <row r="448" spans="1:6" x14ac:dyDescent="0.25">
      <c r="A448" t="s">
        <v>483</v>
      </c>
      <c r="B448" t="s">
        <v>10</v>
      </c>
      <c r="C448" s="4" t="s">
        <v>487</v>
      </c>
      <c r="D448" s="4" t="s">
        <v>90</v>
      </c>
      <c r="E448" s="4" t="s">
        <v>36</v>
      </c>
      <c r="F448" s="29"/>
    </row>
    <row r="449" spans="1:6" x14ac:dyDescent="0.25">
      <c r="A449" t="s">
        <v>483</v>
      </c>
      <c r="B449" t="s">
        <v>10</v>
      </c>
      <c r="C449" s="4" t="s">
        <v>487</v>
      </c>
      <c r="D449" s="4" t="s">
        <v>130</v>
      </c>
      <c r="E449" s="4" t="s">
        <v>487</v>
      </c>
      <c r="F449" s="29"/>
    </row>
    <row r="450" spans="1:6" x14ac:dyDescent="0.25">
      <c r="A450" t="s">
        <v>483</v>
      </c>
      <c r="B450" t="s">
        <v>10</v>
      </c>
      <c r="C450" s="4" t="s">
        <v>487</v>
      </c>
      <c r="D450" s="4" t="s">
        <v>91</v>
      </c>
      <c r="E450" s="4" t="s">
        <v>487</v>
      </c>
      <c r="F450" s="29"/>
    </row>
    <row r="451" spans="1:6" x14ac:dyDescent="0.25">
      <c r="A451" t="s">
        <v>483</v>
      </c>
      <c r="B451" t="s">
        <v>10</v>
      </c>
      <c r="C451" s="4" t="s">
        <v>487</v>
      </c>
      <c r="D451" s="4" t="s">
        <v>131</v>
      </c>
      <c r="E451" s="4" t="s">
        <v>487</v>
      </c>
      <c r="F451" s="29"/>
    </row>
    <row r="452" spans="1:6" x14ac:dyDescent="0.25">
      <c r="A452" t="s">
        <v>483</v>
      </c>
      <c r="B452" t="s">
        <v>10</v>
      </c>
      <c r="C452" s="4">
        <v>13</v>
      </c>
      <c r="D452" s="4" t="s">
        <v>400</v>
      </c>
      <c r="E452" s="4" t="s">
        <v>487</v>
      </c>
      <c r="F452" s="29">
        <v>0.2</v>
      </c>
    </row>
    <row r="453" spans="1:6" x14ac:dyDescent="0.25">
      <c r="A453" t="s">
        <v>483</v>
      </c>
      <c r="B453" t="s">
        <v>10</v>
      </c>
      <c r="C453" s="4" t="s">
        <v>487</v>
      </c>
      <c r="D453" s="4" t="s">
        <v>401</v>
      </c>
      <c r="E453" s="4" t="s">
        <v>36</v>
      </c>
      <c r="F453" s="29"/>
    </row>
    <row r="454" spans="1:6" x14ac:dyDescent="0.25">
      <c r="A454" t="s">
        <v>483</v>
      </c>
      <c r="B454" t="s">
        <v>10</v>
      </c>
      <c r="C454" s="4" t="s">
        <v>487</v>
      </c>
      <c r="D454" s="4" t="s">
        <v>402</v>
      </c>
      <c r="E454" s="4" t="s">
        <v>487</v>
      </c>
      <c r="F454" s="29"/>
    </row>
    <row r="455" spans="1:6" x14ac:dyDescent="0.25">
      <c r="A455" t="s">
        <v>483</v>
      </c>
      <c r="B455" t="s">
        <v>10</v>
      </c>
      <c r="C455" s="4" t="s">
        <v>487</v>
      </c>
      <c r="D455" s="4" t="s">
        <v>140</v>
      </c>
      <c r="E455" s="4" t="s">
        <v>487</v>
      </c>
      <c r="F455" s="29"/>
    </row>
    <row r="456" spans="1:6" x14ac:dyDescent="0.25">
      <c r="A456" t="s">
        <v>483</v>
      </c>
      <c r="B456" t="s">
        <v>10</v>
      </c>
      <c r="C456" s="4" t="s">
        <v>487</v>
      </c>
      <c r="D456" s="4" t="s">
        <v>144</v>
      </c>
      <c r="E456" s="4" t="s">
        <v>487</v>
      </c>
      <c r="F456" s="29"/>
    </row>
    <row r="457" spans="1:6" x14ac:dyDescent="0.25">
      <c r="A457" t="s">
        <v>483</v>
      </c>
      <c r="B457" t="s">
        <v>10</v>
      </c>
      <c r="C457" s="4">
        <v>14</v>
      </c>
      <c r="D457" s="4" t="s">
        <v>322</v>
      </c>
      <c r="E457" s="4" t="s">
        <v>487</v>
      </c>
      <c r="F457" s="29">
        <v>0.2</v>
      </c>
    </row>
    <row r="458" spans="1:6" x14ac:dyDescent="0.25">
      <c r="A458" t="s">
        <v>483</v>
      </c>
      <c r="B458" t="s">
        <v>10</v>
      </c>
      <c r="C458" s="4" t="s">
        <v>487</v>
      </c>
      <c r="D458" s="4" t="s">
        <v>260</v>
      </c>
      <c r="E458" s="4" t="s">
        <v>487</v>
      </c>
      <c r="F458" s="29"/>
    </row>
    <row r="459" spans="1:6" x14ac:dyDescent="0.25">
      <c r="A459" t="s">
        <v>483</v>
      </c>
      <c r="B459" t="s">
        <v>10</v>
      </c>
      <c r="C459" s="4" t="s">
        <v>487</v>
      </c>
      <c r="D459" s="4" t="s">
        <v>303</v>
      </c>
      <c r="E459" s="4" t="s">
        <v>487</v>
      </c>
      <c r="F459" s="29"/>
    </row>
    <row r="460" spans="1:6" x14ac:dyDescent="0.25">
      <c r="A460" t="s">
        <v>483</v>
      </c>
      <c r="B460" t="s">
        <v>10</v>
      </c>
      <c r="C460" s="4" t="s">
        <v>487</v>
      </c>
      <c r="D460" s="4" t="s">
        <v>323</v>
      </c>
      <c r="E460" s="4" t="s">
        <v>17</v>
      </c>
      <c r="F460" s="29"/>
    </row>
    <row r="461" spans="1:6" x14ac:dyDescent="0.25">
      <c r="A461" t="s">
        <v>483</v>
      </c>
      <c r="B461" t="s">
        <v>10</v>
      </c>
      <c r="C461" s="4" t="s">
        <v>487</v>
      </c>
      <c r="D461" s="4" t="s">
        <v>195</v>
      </c>
      <c r="E461" s="4" t="s">
        <v>487</v>
      </c>
      <c r="F461" s="29"/>
    </row>
    <row r="462" spans="1:6" x14ac:dyDescent="0.25">
      <c r="A462" t="s">
        <v>483</v>
      </c>
      <c r="B462" t="s">
        <v>10</v>
      </c>
      <c r="C462" s="4">
        <v>15</v>
      </c>
      <c r="D462" s="4" t="s">
        <v>350</v>
      </c>
      <c r="E462" s="4" t="s">
        <v>487</v>
      </c>
      <c r="F462" s="29">
        <v>0.2</v>
      </c>
    </row>
    <row r="463" spans="1:6" x14ac:dyDescent="0.25">
      <c r="A463" t="s">
        <v>483</v>
      </c>
      <c r="B463" t="s">
        <v>10</v>
      </c>
      <c r="C463" s="4" t="s">
        <v>487</v>
      </c>
      <c r="D463" s="4" t="s">
        <v>13</v>
      </c>
      <c r="E463" s="4" t="s">
        <v>487</v>
      </c>
      <c r="F463" s="29"/>
    </row>
    <row r="464" spans="1:6" x14ac:dyDescent="0.25">
      <c r="A464" t="s">
        <v>483</v>
      </c>
      <c r="B464" t="s">
        <v>10</v>
      </c>
      <c r="C464" s="4" t="s">
        <v>487</v>
      </c>
      <c r="D464" s="4" t="s">
        <v>46</v>
      </c>
      <c r="E464" s="4" t="s">
        <v>9</v>
      </c>
      <c r="F464" s="29"/>
    </row>
    <row r="465" spans="1:6" x14ac:dyDescent="0.25">
      <c r="A465" t="s">
        <v>483</v>
      </c>
      <c r="B465" t="s">
        <v>10</v>
      </c>
      <c r="C465" s="4" t="s">
        <v>487</v>
      </c>
      <c r="D465" s="4" t="s">
        <v>16</v>
      </c>
      <c r="E465" s="4" t="s">
        <v>487</v>
      </c>
      <c r="F465" s="29"/>
    </row>
    <row r="466" spans="1:6" x14ac:dyDescent="0.25">
      <c r="A466" t="s">
        <v>483</v>
      </c>
      <c r="B466" t="s">
        <v>10</v>
      </c>
      <c r="C466" s="4" t="s">
        <v>487</v>
      </c>
      <c r="D466" s="4" t="s">
        <v>15</v>
      </c>
      <c r="E466" s="4" t="s">
        <v>487</v>
      </c>
      <c r="F466" s="29"/>
    </row>
    <row r="467" spans="1:6" x14ac:dyDescent="0.25">
      <c r="A467" t="s">
        <v>483</v>
      </c>
      <c r="B467" t="s">
        <v>10</v>
      </c>
      <c r="C467" s="4">
        <v>16</v>
      </c>
      <c r="D467" s="4" t="s">
        <v>386</v>
      </c>
      <c r="E467" s="4" t="s">
        <v>487</v>
      </c>
      <c r="F467" s="29">
        <v>0.2</v>
      </c>
    </row>
    <row r="468" spans="1:6" x14ac:dyDescent="0.25">
      <c r="A468" t="s">
        <v>483</v>
      </c>
      <c r="B468" t="s">
        <v>10</v>
      </c>
      <c r="C468" s="4" t="s">
        <v>487</v>
      </c>
      <c r="D468" s="4" t="s">
        <v>145</v>
      </c>
      <c r="E468" s="4" t="s">
        <v>36</v>
      </c>
      <c r="F468" s="29"/>
    </row>
    <row r="469" spans="1:6" x14ac:dyDescent="0.25">
      <c r="A469" t="s">
        <v>483</v>
      </c>
      <c r="B469" t="s">
        <v>10</v>
      </c>
      <c r="C469" s="4" t="s">
        <v>487</v>
      </c>
      <c r="D469" s="4" t="s">
        <v>146</v>
      </c>
      <c r="E469" s="4" t="s">
        <v>487</v>
      </c>
      <c r="F469" s="29"/>
    </row>
    <row r="470" spans="1:6" x14ac:dyDescent="0.25">
      <c r="A470" t="s">
        <v>483</v>
      </c>
      <c r="B470" t="s">
        <v>10</v>
      </c>
      <c r="C470" s="4" t="s">
        <v>487</v>
      </c>
      <c r="D470" s="4" t="s">
        <v>147</v>
      </c>
      <c r="E470" s="4" t="s">
        <v>487</v>
      </c>
      <c r="F470" s="29"/>
    </row>
    <row r="471" spans="1:6" x14ac:dyDescent="0.25">
      <c r="A471" t="s">
        <v>483</v>
      </c>
      <c r="B471" t="s">
        <v>10</v>
      </c>
      <c r="C471" s="4" t="s">
        <v>487</v>
      </c>
      <c r="D471" s="4" t="s">
        <v>142</v>
      </c>
      <c r="E471" s="4" t="s">
        <v>487</v>
      </c>
      <c r="F471" s="29"/>
    </row>
    <row r="472" spans="1:6" x14ac:dyDescent="0.25">
      <c r="A472" t="s">
        <v>483</v>
      </c>
      <c r="B472" t="s">
        <v>10</v>
      </c>
      <c r="C472" s="4">
        <v>17</v>
      </c>
      <c r="D472" s="4" t="s">
        <v>212</v>
      </c>
      <c r="E472" s="4" t="s">
        <v>487</v>
      </c>
      <c r="F472" s="29">
        <v>0.2</v>
      </c>
    </row>
    <row r="473" spans="1:6" x14ac:dyDescent="0.25">
      <c r="A473" t="s">
        <v>483</v>
      </c>
      <c r="B473" t="s">
        <v>10</v>
      </c>
      <c r="C473" s="4" t="s">
        <v>487</v>
      </c>
      <c r="D473" s="4" t="s">
        <v>213</v>
      </c>
      <c r="E473" s="4" t="s">
        <v>487</v>
      </c>
      <c r="F473" s="29"/>
    </row>
    <row r="474" spans="1:6" x14ac:dyDescent="0.25">
      <c r="A474" t="s">
        <v>483</v>
      </c>
      <c r="B474" t="s">
        <v>10</v>
      </c>
      <c r="C474" s="4" t="s">
        <v>487</v>
      </c>
      <c r="D474" s="4" t="s">
        <v>214</v>
      </c>
      <c r="E474" s="4" t="s">
        <v>9</v>
      </c>
      <c r="F474" s="29"/>
    </row>
    <row r="475" spans="1:6" x14ac:dyDescent="0.25">
      <c r="A475" t="s">
        <v>483</v>
      </c>
      <c r="B475" t="s">
        <v>10</v>
      </c>
      <c r="C475" s="4" t="s">
        <v>487</v>
      </c>
      <c r="D475" s="4" t="s">
        <v>215</v>
      </c>
      <c r="E475" s="4" t="s">
        <v>487</v>
      </c>
      <c r="F475" s="29"/>
    </row>
    <row r="476" spans="1:6" x14ac:dyDescent="0.25">
      <c r="A476" t="s">
        <v>483</v>
      </c>
      <c r="B476" t="s">
        <v>10</v>
      </c>
      <c r="C476" s="4" t="s">
        <v>487</v>
      </c>
      <c r="D476" s="4" t="s">
        <v>216</v>
      </c>
      <c r="E476" s="4" t="s">
        <v>487</v>
      </c>
      <c r="F476" s="29"/>
    </row>
    <row r="477" spans="1:6" x14ac:dyDescent="0.25">
      <c r="C477" s="4"/>
      <c r="D477" s="28" t="s">
        <v>489</v>
      </c>
      <c r="E477" s="4"/>
      <c r="F477" s="29"/>
    </row>
    <row r="478" spans="1:6" x14ac:dyDescent="0.25">
      <c r="A478" t="s">
        <v>483</v>
      </c>
      <c r="B478" t="s">
        <v>51</v>
      </c>
      <c r="C478" s="4">
        <v>1</v>
      </c>
      <c r="D478" s="4" t="s">
        <v>381</v>
      </c>
      <c r="E478" s="4" t="s">
        <v>487</v>
      </c>
      <c r="F478" s="29">
        <v>0.2</v>
      </c>
    </row>
    <row r="479" spans="1:6" x14ac:dyDescent="0.25">
      <c r="A479" t="s">
        <v>483</v>
      </c>
      <c r="B479" t="s">
        <v>51</v>
      </c>
      <c r="C479" s="4" t="s">
        <v>487</v>
      </c>
      <c r="D479" s="4" t="s">
        <v>210</v>
      </c>
      <c r="E479" s="4" t="s">
        <v>36</v>
      </c>
      <c r="F479" s="29"/>
    </row>
    <row r="480" spans="1:6" x14ac:dyDescent="0.25">
      <c r="A480" t="s">
        <v>483</v>
      </c>
      <c r="B480" t="s">
        <v>51</v>
      </c>
      <c r="C480" s="4" t="s">
        <v>487</v>
      </c>
      <c r="D480" s="4" t="s">
        <v>96</v>
      </c>
      <c r="E480" s="4" t="s">
        <v>487</v>
      </c>
      <c r="F480" s="29"/>
    </row>
    <row r="481" spans="1:6" x14ac:dyDescent="0.25">
      <c r="A481" t="s">
        <v>483</v>
      </c>
      <c r="B481" t="s">
        <v>51</v>
      </c>
      <c r="C481" s="4" t="s">
        <v>487</v>
      </c>
      <c r="D481" s="4" t="s">
        <v>131</v>
      </c>
      <c r="E481" s="4" t="s">
        <v>487</v>
      </c>
      <c r="F481" s="29"/>
    </row>
    <row r="482" spans="1:6" x14ac:dyDescent="0.25">
      <c r="A482" t="s">
        <v>483</v>
      </c>
      <c r="B482" t="s">
        <v>51</v>
      </c>
      <c r="C482" s="4" t="s">
        <v>487</v>
      </c>
      <c r="D482" s="4" t="s">
        <v>137</v>
      </c>
      <c r="E482" s="4" t="s">
        <v>487</v>
      </c>
      <c r="F482" s="29"/>
    </row>
    <row r="483" spans="1:6" x14ac:dyDescent="0.25">
      <c r="A483" t="s">
        <v>483</v>
      </c>
      <c r="B483" t="s">
        <v>51</v>
      </c>
      <c r="C483" s="4">
        <v>2</v>
      </c>
      <c r="D483" s="4" t="s">
        <v>384</v>
      </c>
      <c r="E483" s="4" t="s">
        <v>487</v>
      </c>
      <c r="F483" s="29">
        <v>0.2</v>
      </c>
    </row>
    <row r="484" spans="1:6" x14ac:dyDescent="0.25">
      <c r="A484" t="s">
        <v>483</v>
      </c>
      <c r="B484" t="s">
        <v>51</v>
      </c>
      <c r="C484" s="4" t="s">
        <v>487</v>
      </c>
      <c r="D484" s="4" t="s">
        <v>211</v>
      </c>
      <c r="E484" s="4" t="s">
        <v>36</v>
      </c>
      <c r="F484" s="29"/>
    </row>
    <row r="485" spans="1:6" x14ac:dyDescent="0.25">
      <c r="A485" t="s">
        <v>483</v>
      </c>
      <c r="B485" t="s">
        <v>51</v>
      </c>
      <c r="C485" s="4" t="s">
        <v>487</v>
      </c>
      <c r="D485" s="4" t="s">
        <v>96</v>
      </c>
      <c r="E485" s="4" t="s">
        <v>487</v>
      </c>
      <c r="F485" s="29"/>
    </row>
    <row r="486" spans="1:6" x14ac:dyDescent="0.25">
      <c r="A486" t="s">
        <v>483</v>
      </c>
      <c r="B486" t="s">
        <v>51</v>
      </c>
      <c r="C486" s="4" t="s">
        <v>487</v>
      </c>
      <c r="D486" s="4" t="s">
        <v>131</v>
      </c>
      <c r="E486" s="4" t="s">
        <v>487</v>
      </c>
      <c r="F486" s="29"/>
    </row>
    <row r="487" spans="1:6" x14ac:dyDescent="0.25">
      <c r="A487" t="s">
        <v>483</v>
      </c>
      <c r="B487" t="s">
        <v>51</v>
      </c>
      <c r="C487" s="4" t="s">
        <v>487</v>
      </c>
      <c r="D487" s="4" t="s">
        <v>137</v>
      </c>
      <c r="E487" s="4" t="s">
        <v>487</v>
      </c>
      <c r="F487" s="29"/>
    </row>
    <row r="488" spans="1:6" x14ac:dyDescent="0.25">
      <c r="A488" t="s">
        <v>483</v>
      </c>
      <c r="B488" t="s">
        <v>51</v>
      </c>
      <c r="C488" s="4">
        <v>3</v>
      </c>
      <c r="D488" s="4" t="s">
        <v>380</v>
      </c>
      <c r="E488" s="4" t="s">
        <v>487</v>
      </c>
      <c r="F488" s="29">
        <v>0.2</v>
      </c>
    </row>
    <row r="489" spans="1:6" x14ac:dyDescent="0.25">
      <c r="A489" t="s">
        <v>483</v>
      </c>
      <c r="B489" t="s">
        <v>51</v>
      </c>
      <c r="C489" s="4" t="s">
        <v>487</v>
      </c>
      <c r="D489" s="4" t="s">
        <v>137</v>
      </c>
      <c r="E489" s="4" t="s">
        <v>487</v>
      </c>
      <c r="F489" s="29"/>
    </row>
    <row r="490" spans="1:6" x14ac:dyDescent="0.25">
      <c r="A490" t="s">
        <v>483</v>
      </c>
      <c r="B490" t="s">
        <v>51</v>
      </c>
      <c r="C490" s="4" t="s">
        <v>487</v>
      </c>
      <c r="D490" s="4" t="s">
        <v>199</v>
      </c>
      <c r="E490" s="4" t="s">
        <v>9</v>
      </c>
      <c r="F490" s="29"/>
    </row>
    <row r="491" spans="1:6" x14ac:dyDescent="0.25">
      <c r="A491" t="s">
        <v>483</v>
      </c>
      <c r="B491" t="s">
        <v>51</v>
      </c>
      <c r="C491" s="4" t="s">
        <v>487</v>
      </c>
      <c r="D491" s="4" t="s">
        <v>198</v>
      </c>
      <c r="E491" s="4" t="s">
        <v>487</v>
      </c>
      <c r="F491" s="29"/>
    </row>
    <row r="492" spans="1:6" x14ac:dyDescent="0.25">
      <c r="A492" t="s">
        <v>483</v>
      </c>
      <c r="B492" t="s">
        <v>51</v>
      </c>
      <c r="C492" s="4" t="s">
        <v>487</v>
      </c>
      <c r="D492" s="4" t="s">
        <v>195</v>
      </c>
      <c r="E492" s="4" t="s">
        <v>487</v>
      </c>
      <c r="F492" s="29"/>
    </row>
    <row r="493" spans="1:6" x14ac:dyDescent="0.25">
      <c r="A493" t="s">
        <v>483</v>
      </c>
      <c r="B493" t="s">
        <v>51</v>
      </c>
      <c r="C493" s="4">
        <v>4</v>
      </c>
      <c r="D493" s="4" t="s">
        <v>395</v>
      </c>
      <c r="E493" s="4" t="s">
        <v>487</v>
      </c>
      <c r="F493" s="29">
        <v>0.2</v>
      </c>
    </row>
    <row r="494" spans="1:6" x14ac:dyDescent="0.25">
      <c r="A494" t="s">
        <v>483</v>
      </c>
      <c r="B494" t="s">
        <v>51</v>
      </c>
      <c r="C494" s="4" t="s">
        <v>487</v>
      </c>
      <c r="D494" s="4" t="s">
        <v>397</v>
      </c>
      <c r="E494" s="4" t="s">
        <v>36</v>
      </c>
      <c r="F494" s="29"/>
    </row>
    <row r="495" spans="1:6" x14ac:dyDescent="0.25">
      <c r="A495" t="s">
        <v>483</v>
      </c>
      <c r="B495" t="s">
        <v>51</v>
      </c>
      <c r="C495" s="4" t="s">
        <v>487</v>
      </c>
      <c r="D495" s="4" t="s">
        <v>396</v>
      </c>
      <c r="E495" s="4" t="s">
        <v>487</v>
      </c>
      <c r="F495" s="29"/>
    </row>
    <row r="496" spans="1:6" x14ac:dyDescent="0.25">
      <c r="A496" t="s">
        <v>483</v>
      </c>
      <c r="B496" t="s">
        <v>51</v>
      </c>
      <c r="C496" s="4" t="s">
        <v>487</v>
      </c>
      <c r="D496" s="4" t="s">
        <v>398</v>
      </c>
      <c r="E496" s="4" t="s">
        <v>487</v>
      </c>
      <c r="F496" s="29"/>
    </row>
    <row r="497" spans="1:6" x14ac:dyDescent="0.25">
      <c r="A497" t="s">
        <v>483</v>
      </c>
      <c r="B497" t="s">
        <v>51</v>
      </c>
      <c r="C497" s="4" t="s">
        <v>487</v>
      </c>
      <c r="D497" s="4" t="s">
        <v>399</v>
      </c>
      <c r="E497" s="4" t="s">
        <v>487</v>
      </c>
      <c r="F497" s="29"/>
    </row>
    <row r="498" spans="1:6" x14ac:dyDescent="0.25">
      <c r="A498" t="s">
        <v>483</v>
      </c>
      <c r="B498" t="s">
        <v>51</v>
      </c>
      <c r="C498" s="4">
        <v>5</v>
      </c>
      <c r="D498" s="4" t="s">
        <v>366</v>
      </c>
      <c r="E498" s="4" t="s">
        <v>487</v>
      </c>
      <c r="F498" s="29">
        <v>0.2</v>
      </c>
    </row>
    <row r="499" spans="1:6" x14ac:dyDescent="0.25">
      <c r="A499" t="s">
        <v>483</v>
      </c>
      <c r="B499" t="s">
        <v>51</v>
      </c>
      <c r="C499" s="4" t="s">
        <v>487</v>
      </c>
      <c r="D499" s="4" t="s">
        <v>203</v>
      </c>
      <c r="E499" s="4" t="s">
        <v>487</v>
      </c>
      <c r="F499" s="29"/>
    </row>
    <row r="500" spans="1:6" x14ac:dyDescent="0.25">
      <c r="A500" t="s">
        <v>483</v>
      </c>
      <c r="B500" t="s">
        <v>51</v>
      </c>
      <c r="C500" s="4" t="s">
        <v>487</v>
      </c>
      <c r="D500" s="4" t="s">
        <v>202</v>
      </c>
      <c r="E500" s="4" t="s">
        <v>487</v>
      </c>
      <c r="F500" s="29"/>
    </row>
    <row r="501" spans="1:6" x14ac:dyDescent="0.25">
      <c r="A501" t="s">
        <v>483</v>
      </c>
      <c r="B501" t="s">
        <v>51</v>
      </c>
      <c r="C501" s="4" t="s">
        <v>487</v>
      </c>
      <c r="D501" s="4" t="s">
        <v>201</v>
      </c>
      <c r="E501" s="4" t="s">
        <v>17</v>
      </c>
      <c r="F501" s="29"/>
    </row>
    <row r="502" spans="1:6" x14ac:dyDescent="0.25">
      <c r="A502" t="s">
        <v>483</v>
      </c>
      <c r="B502" t="s">
        <v>51</v>
      </c>
      <c r="C502" s="4" t="s">
        <v>487</v>
      </c>
      <c r="D502" s="4" t="s">
        <v>204</v>
      </c>
      <c r="E502" s="4" t="s">
        <v>487</v>
      </c>
      <c r="F502" s="29"/>
    </row>
    <row r="503" spans="1:6" x14ac:dyDescent="0.25">
      <c r="A503" t="s">
        <v>483</v>
      </c>
      <c r="B503" t="s">
        <v>51</v>
      </c>
      <c r="C503" s="4">
        <v>6</v>
      </c>
      <c r="D503" s="4" t="s">
        <v>379</v>
      </c>
      <c r="E503" s="4" t="s">
        <v>487</v>
      </c>
      <c r="F503" s="29">
        <v>0.2</v>
      </c>
    </row>
    <row r="504" spans="1:6" x14ac:dyDescent="0.25">
      <c r="A504" t="s">
        <v>483</v>
      </c>
      <c r="B504" t="s">
        <v>51</v>
      </c>
      <c r="C504" s="4" t="s">
        <v>487</v>
      </c>
      <c r="D504" s="4" t="s">
        <v>183</v>
      </c>
      <c r="E504" s="4" t="s">
        <v>36</v>
      </c>
      <c r="F504" s="29"/>
    </row>
    <row r="505" spans="1:6" x14ac:dyDescent="0.25">
      <c r="A505" t="s">
        <v>483</v>
      </c>
      <c r="B505" t="s">
        <v>51</v>
      </c>
      <c r="C505" s="4" t="s">
        <v>487</v>
      </c>
      <c r="D505" s="4" t="s">
        <v>184</v>
      </c>
      <c r="E505" s="4" t="s">
        <v>487</v>
      </c>
      <c r="F505" s="29"/>
    </row>
    <row r="506" spans="1:6" x14ac:dyDescent="0.25">
      <c r="A506" t="s">
        <v>483</v>
      </c>
      <c r="B506" t="s">
        <v>51</v>
      </c>
      <c r="C506" s="4" t="s">
        <v>487</v>
      </c>
      <c r="D506" s="4" t="s">
        <v>185</v>
      </c>
      <c r="E506" s="4" t="s">
        <v>487</v>
      </c>
      <c r="F506" s="29"/>
    </row>
    <row r="507" spans="1:6" x14ac:dyDescent="0.25">
      <c r="A507" t="s">
        <v>483</v>
      </c>
      <c r="B507" t="s">
        <v>51</v>
      </c>
      <c r="C507" s="4" t="s">
        <v>487</v>
      </c>
      <c r="D507" s="4" t="s">
        <v>178</v>
      </c>
      <c r="E507" s="4" t="s">
        <v>487</v>
      </c>
      <c r="F507" s="29"/>
    </row>
    <row r="508" spans="1:6" x14ac:dyDescent="0.25">
      <c r="A508" t="s">
        <v>483</v>
      </c>
      <c r="B508" t="s">
        <v>51</v>
      </c>
      <c r="C508" s="4">
        <v>7</v>
      </c>
      <c r="D508" s="4" t="s">
        <v>378</v>
      </c>
      <c r="E508" s="4" t="s">
        <v>487</v>
      </c>
      <c r="F508" s="29">
        <v>0.2</v>
      </c>
    </row>
    <row r="509" spans="1:6" x14ac:dyDescent="0.25">
      <c r="A509" t="s">
        <v>483</v>
      </c>
      <c r="B509" t="s">
        <v>51</v>
      </c>
      <c r="C509" s="4" t="s">
        <v>487</v>
      </c>
      <c r="D509" s="4" t="s">
        <v>311</v>
      </c>
      <c r="E509" s="4" t="s">
        <v>36</v>
      </c>
      <c r="F509" s="29"/>
    </row>
    <row r="510" spans="1:6" x14ac:dyDescent="0.25">
      <c r="A510" t="s">
        <v>483</v>
      </c>
      <c r="B510" t="s">
        <v>51</v>
      </c>
      <c r="C510" s="4" t="s">
        <v>487</v>
      </c>
      <c r="D510" s="4" t="s">
        <v>19</v>
      </c>
      <c r="E510" s="4" t="s">
        <v>487</v>
      </c>
      <c r="F510" s="29"/>
    </row>
    <row r="511" spans="1:6" x14ac:dyDescent="0.25">
      <c r="A511" t="s">
        <v>483</v>
      </c>
      <c r="B511" t="s">
        <v>51</v>
      </c>
      <c r="C511" s="4" t="s">
        <v>487</v>
      </c>
      <c r="D511" s="4" t="s">
        <v>312</v>
      </c>
      <c r="E511" s="4" t="s">
        <v>487</v>
      </c>
      <c r="F511" s="29"/>
    </row>
    <row r="512" spans="1:6" x14ac:dyDescent="0.25">
      <c r="A512" t="s">
        <v>483</v>
      </c>
      <c r="B512" t="s">
        <v>51</v>
      </c>
      <c r="C512" s="4" t="s">
        <v>487</v>
      </c>
      <c r="D512" s="4" t="s">
        <v>313</v>
      </c>
      <c r="E512" s="4" t="s">
        <v>487</v>
      </c>
      <c r="F512" s="29"/>
    </row>
    <row r="513" spans="1:6" x14ac:dyDescent="0.25">
      <c r="A513" t="s">
        <v>483</v>
      </c>
      <c r="B513" t="s">
        <v>51</v>
      </c>
      <c r="C513" s="4">
        <v>8</v>
      </c>
      <c r="D513" s="4" t="s">
        <v>377</v>
      </c>
      <c r="E513" s="4" t="s">
        <v>487</v>
      </c>
      <c r="F513" s="29">
        <v>0.2</v>
      </c>
    </row>
    <row r="514" spans="1:6" x14ac:dyDescent="0.25">
      <c r="A514" t="s">
        <v>483</v>
      </c>
      <c r="B514" t="s">
        <v>51</v>
      </c>
      <c r="C514" s="4" t="s">
        <v>487</v>
      </c>
      <c r="D514" s="4" t="s">
        <v>105</v>
      </c>
      <c r="E514" s="4" t="s">
        <v>36</v>
      </c>
      <c r="F514" s="29"/>
    </row>
    <row r="515" spans="1:6" x14ac:dyDescent="0.25">
      <c r="A515" t="s">
        <v>483</v>
      </c>
      <c r="B515" t="s">
        <v>51</v>
      </c>
      <c r="C515" s="4" t="s">
        <v>487</v>
      </c>
      <c r="D515" s="4" t="s">
        <v>96</v>
      </c>
      <c r="E515" s="4" t="s">
        <v>487</v>
      </c>
      <c r="F515" s="29"/>
    </row>
    <row r="516" spans="1:6" x14ac:dyDescent="0.25">
      <c r="A516" t="s">
        <v>483</v>
      </c>
      <c r="B516" t="s">
        <v>51</v>
      </c>
      <c r="C516" s="4" t="s">
        <v>487</v>
      </c>
      <c r="D516" s="4" t="s">
        <v>131</v>
      </c>
      <c r="E516" s="4" t="s">
        <v>487</v>
      </c>
      <c r="F516" s="29"/>
    </row>
    <row r="517" spans="1:6" x14ac:dyDescent="0.25">
      <c r="A517" t="s">
        <v>483</v>
      </c>
      <c r="B517" t="s">
        <v>51</v>
      </c>
      <c r="C517" s="4" t="s">
        <v>487</v>
      </c>
      <c r="D517" s="4" t="s">
        <v>127</v>
      </c>
      <c r="E517" s="4" t="s">
        <v>487</v>
      </c>
      <c r="F517" s="29"/>
    </row>
    <row r="518" spans="1:6" x14ac:dyDescent="0.25">
      <c r="A518" t="s">
        <v>483</v>
      </c>
      <c r="B518" t="s">
        <v>51</v>
      </c>
      <c r="C518" s="4">
        <v>9</v>
      </c>
      <c r="D518" s="4" t="s">
        <v>267</v>
      </c>
      <c r="E518" s="4" t="s">
        <v>487</v>
      </c>
      <c r="F518" s="29">
        <v>0.2</v>
      </c>
    </row>
    <row r="519" spans="1:6" x14ac:dyDescent="0.25">
      <c r="A519" t="s">
        <v>483</v>
      </c>
      <c r="B519" t="s">
        <v>51</v>
      </c>
      <c r="C519" s="4" t="s">
        <v>487</v>
      </c>
      <c r="D519" s="4" t="s">
        <v>123</v>
      </c>
      <c r="E519" s="4" t="s">
        <v>487</v>
      </c>
      <c r="F519" s="29"/>
    </row>
    <row r="520" spans="1:6" x14ac:dyDescent="0.25">
      <c r="A520" t="s">
        <v>483</v>
      </c>
      <c r="B520" t="s">
        <v>51</v>
      </c>
      <c r="C520" s="4" t="s">
        <v>487</v>
      </c>
      <c r="D520" s="4" t="s">
        <v>268</v>
      </c>
      <c r="E520" s="4" t="s">
        <v>9</v>
      </c>
      <c r="F520" s="29"/>
    </row>
    <row r="521" spans="1:6" x14ac:dyDescent="0.25">
      <c r="A521" t="s">
        <v>483</v>
      </c>
      <c r="B521" t="s">
        <v>51</v>
      </c>
      <c r="C521" s="4" t="s">
        <v>487</v>
      </c>
      <c r="D521" s="4" t="s">
        <v>269</v>
      </c>
      <c r="E521" s="4" t="s">
        <v>487</v>
      </c>
      <c r="F521" s="29"/>
    </row>
    <row r="522" spans="1:6" x14ac:dyDescent="0.25">
      <c r="A522" t="s">
        <v>483</v>
      </c>
      <c r="B522" t="s">
        <v>51</v>
      </c>
      <c r="C522" s="4" t="s">
        <v>487</v>
      </c>
      <c r="D522" s="4" t="s">
        <v>270</v>
      </c>
      <c r="E522" s="4" t="s">
        <v>487</v>
      </c>
      <c r="F522" s="29"/>
    </row>
    <row r="523" spans="1:6" x14ac:dyDescent="0.25">
      <c r="A523" t="s">
        <v>483</v>
      </c>
      <c r="B523" t="s">
        <v>51</v>
      </c>
      <c r="C523" s="4">
        <v>10</v>
      </c>
      <c r="D523" s="4" t="s">
        <v>376</v>
      </c>
      <c r="E523" s="4" t="s">
        <v>487</v>
      </c>
      <c r="F523" s="29">
        <v>0.2</v>
      </c>
    </row>
    <row r="524" spans="1:6" x14ac:dyDescent="0.25">
      <c r="A524" t="s">
        <v>483</v>
      </c>
      <c r="B524" t="s">
        <v>51</v>
      </c>
      <c r="C524" s="4" t="s">
        <v>487</v>
      </c>
      <c r="D524" s="4" t="s">
        <v>205</v>
      </c>
      <c r="E524" s="4" t="s">
        <v>487</v>
      </c>
      <c r="F524" s="29"/>
    </row>
    <row r="525" spans="1:6" x14ac:dyDescent="0.25">
      <c r="A525" t="s">
        <v>483</v>
      </c>
      <c r="B525" t="s">
        <v>51</v>
      </c>
      <c r="C525" s="4" t="s">
        <v>487</v>
      </c>
      <c r="D525" s="4" t="s">
        <v>185</v>
      </c>
      <c r="E525" s="4" t="s">
        <v>487</v>
      </c>
      <c r="F525" s="29"/>
    </row>
    <row r="526" spans="1:6" x14ac:dyDescent="0.25">
      <c r="A526" t="s">
        <v>483</v>
      </c>
      <c r="B526" t="s">
        <v>51</v>
      </c>
      <c r="C526" s="4" t="s">
        <v>487</v>
      </c>
      <c r="D526" s="4" t="s">
        <v>155</v>
      </c>
      <c r="E526" s="4" t="s">
        <v>36</v>
      </c>
      <c r="F526" s="29"/>
    </row>
    <row r="527" spans="1:6" x14ac:dyDescent="0.25">
      <c r="A527" t="s">
        <v>483</v>
      </c>
      <c r="B527" t="s">
        <v>51</v>
      </c>
      <c r="C527" s="4" t="s">
        <v>487</v>
      </c>
      <c r="D527" s="4" t="s">
        <v>206</v>
      </c>
      <c r="E527" s="4" t="s">
        <v>487</v>
      </c>
      <c r="F527" s="29"/>
    </row>
    <row r="528" spans="1:6" x14ac:dyDescent="0.25">
      <c r="A528" t="s">
        <v>483</v>
      </c>
      <c r="B528" t="s">
        <v>51</v>
      </c>
      <c r="C528" s="4">
        <v>11</v>
      </c>
      <c r="D528" s="4" t="s">
        <v>306</v>
      </c>
      <c r="E528" s="4" t="s">
        <v>487</v>
      </c>
      <c r="F528" s="29">
        <v>0.2</v>
      </c>
    </row>
    <row r="529" spans="1:6" x14ac:dyDescent="0.25">
      <c r="A529" t="s">
        <v>483</v>
      </c>
      <c r="B529" t="s">
        <v>51</v>
      </c>
      <c r="C529" s="4" t="s">
        <v>487</v>
      </c>
      <c r="D529" s="4" t="s">
        <v>260</v>
      </c>
      <c r="E529" s="4" t="s">
        <v>487</v>
      </c>
      <c r="F529" s="29"/>
    </row>
    <row r="530" spans="1:6" x14ac:dyDescent="0.25">
      <c r="A530" t="s">
        <v>483</v>
      </c>
      <c r="B530" t="s">
        <v>51</v>
      </c>
      <c r="C530" s="4" t="s">
        <v>487</v>
      </c>
      <c r="D530" s="4" t="s">
        <v>303</v>
      </c>
      <c r="E530" s="4" t="s">
        <v>9</v>
      </c>
      <c r="F530" s="29"/>
    </row>
    <row r="531" spans="1:6" x14ac:dyDescent="0.25">
      <c r="A531" t="s">
        <v>483</v>
      </c>
      <c r="B531" t="s">
        <v>51</v>
      </c>
      <c r="C531" s="4" t="s">
        <v>487</v>
      </c>
      <c r="D531" s="4" t="s">
        <v>304</v>
      </c>
      <c r="E531" s="4" t="s">
        <v>487</v>
      </c>
      <c r="F531" s="29"/>
    </row>
    <row r="532" spans="1:6" x14ac:dyDescent="0.25">
      <c r="A532" t="s">
        <v>483</v>
      </c>
      <c r="B532" t="s">
        <v>51</v>
      </c>
      <c r="C532" s="4" t="s">
        <v>487</v>
      </c>
      <c r="D532" s="4" t="s">
        <v>305</v>
      </c>
      <c r="E532" s="4" t="s">
        <v>487</v>
      </c>
      <c r="F532" s="29"/>
    </row>
    <row r="533" spans="1:6" x14ac:dyDescent="0.25">
      <c r="A533" t="s">
        <v>483</v>
      </c>
      <c r="B533" t="s">
        <v>51</v>
      </c>
      <c r="C533" s="4">
        <v>12</v>
      </c>
      <c r="D533" s="4" t="s">
        <v>319</v>
      </c>
      <c r="E533" s="4" t="s">
        <v>487</v>
      </c>
      <c r="F533" s="29">
        <v>0.2</v>
      </c>
    </row>
    <row r="534" spans="1:6" x14ac:dyDescent="0.25">
      <c r="A534" t="s">
        <v>483</v>
      </c>
      <c r="B534" t="s">
        <v>51</v>
      </c>
      <c r="C534" s="4" t="s">
        <v>487</v>
      </c>
      <c r="D534" s="4" t="s">
        <v>316</v>
      </c>
      <c r="E534" s="4" t="s">
        <v>487</v>
      </c>
      <c r="F534" s="29"/>
    </row>
    <row r="535" spans="1:6" x14ac:dyDescent="0.25">
      <c r="A535" t="s">
        <v>483</v>
      </c>
      <c r="B535" t="s">
        <v>51</v>
      </c>
      <c r="C535" s="4" t="s">
        <v>487</v>
      </c>
      <c r="D535" s="4" t="s">
        <v>320</v>
      </c>
      <c r="E535" s="4" t="s">
        <v>9</v>
      </c>
      <c r="F535" s="29"/>
    </row>
    <row r="536" spans="1:6" x14ac:dyDescent="0.25">
      <c r="A536" t="s">
        <v>483</v>
      </c>
      <c r="B536" t="s">
        <v>51</v>
      </c>
      <c r="C536" s="4" t="s">
        <v>487</v>
      </c>
      <c r="D536" s="4" t="s">
        <v>321</v>
      </c>
      <c r="E536" s="4" t="s">
        <v>487</v>
      </c>
      <c r="F536" s="29"/>
    </row>
    <row r="537" spans="1:6" x14ac:dyDescent="0.25">
      <c r="A537" t="s">
        <v>483</v>
      </c>
      <c r="B537" t="s">
        <v>51</v>
      </c>
      <c r="C537" s="4" t="s">
        <v>487</v>
      </c>
      <c r="D537" s="4" t="s">
        <v>318</v>
      </c>
      <c r="E537" s="4" t="s">
        <v>487</v>
      </c>
      <c r="F537" s="29"/>
    </row>
    <row r="538" spans="1:6" x14ac:dyDescent="0.25">
      <c r="A538" t="s">
        <v>483</v>
      </c>
      <c r="B538" t="s">
        <v>51</v>
      </c>
      <c r="C538" s="4">
        <v>13</v>
      </c>
      <c r="D538" s="4" t="s">
        <v>374</v>
      </c>
      <c r="E538" s="4" t="s">
        <v>487</v>
      </c>
      <c r="F538" s="29">
        <v>0.2</v>
      </c>
    </row>
    <row r="539" spans="1:6" x14ac:dyDescent="0.25">
      <c r="A539" t="s">
        <v>483</v>
      </c>
      <c r="B539" t="s">
        <v>51</v>
      </c>
      <c r="C539" s="4" t="s">
        <v>487</v>
      </c>
      <c r="D539" s="4" t="s">
        <v>195</v>
      </c>
      <c r="E539" s="4" t="s">
        <v>487</v>
      </c>
      <c r="F539" s="29"/>
    </row>
    <row r="540" spans="1:6" x14ac:dyDescent="0.25">
      <c r="A540" t="s">
        <v>483</v>
      </c>
      <c r="B540" t="s">
        <v>51</v>
      </c>
      <c r="C540" s="4" t="s">
        <v>487</v>
      </c>
      <c r="D540" s="4" t="s">
        <v>208</v>
      </c>
      <c r="E540" s="4" t="s">
        <v>487</v>
      </c>
      <c r="F540" s="29"/>
    </row>
    <row r="541" spans="1:6" x14ac:dyDescent="0.25">
      <c r="A541" t="s">
        <v>483</v>
      </c>
      <c r="B541" t="s">
        <v>51</v>
      </c>
      <c r="C541" s="4" t="s">
        <v>487</v>
      </c>
      <c r="D541" s="4" t="s">
        <v>209</v>
      </c>
      <c r="E541" s="4" t="s">
        <v>17</v>
      </c>
      <c r="F541" s="29"/>
    </row>
    <row r="542" spans="1:6" x14ac:dyDescent="0.25">
      <c r="A542" t="s">
        <v>483</v>
      </c>
      <c r="B542" t="s">
        <v>51</v>
      </c>
      <c r="C542" s="4" t="s">
        <v>487</v>
      </c>
      <c r="D542" s="4" t="s">
        <v>137</v>
      </c>
      <c r="E542" s="4" t="s">
        <v>487</v>
      </c>
      <c r="F542" s="29"/>
    </row>
    <row r="543" spans="1:6" x14ac:dyDescent="0.25">
      <c r="A543" t="s">
        <v>483</v>
      </c>
      <c r="B543" t="s">
        <v>51</v>
      </c>
      <c r="C543" s="4">
        <v>14</v>
      </c>
      <c r="D543" s="4" t="s">
        <v>373</v>
      </c>
      <c r="E543" s="4" t="s">
        <v>487</v>
      </c>
      <c r="F543" s="29">
        <v>0.2</v>
      </c>
    </row>
    <row r="544" spans="1:6" x14ac:dyDescent="0.25">
      <c r="A544" t="s">
        <v>483</v>
      </c>
      <c r="B544" t="s">
        <v>51</v>
      </c>
      <c r="C544" s="4" t="s">
        <v>487</v>
      </c>
      <c r="D544" s="4" t="s">
        <v>173</v>
      </c>
      <c r="E544" s="4" t="s">
        <v>36</v>
      </c>
      <c r="F544" s="29"/>
    </row>
    <row r="545" spans="1:6" x14ac:dyDescent="0.25">
      <c r="A545" t="s">
        <v>483</v>
      </c>
      <c r="B545" t="s">
        <v>51</v>
      </c>
      <c r="C545" s="4" t="s">
        <v>487</v>
      </c>
      <c r="D545" s="4" t="s">
        <v>127</v>
      </c>
      <c r="E545" s="4" t="s">
        <v>487</v>
      </c>
      <c r="F545" s="29"/>
    </row>
    <row r="546" spans="1:6" x14ac:dyDescent="0.25">
      <c r="A546" t="s">
        <v>483</v>
      </c>
      <c r="B546" t="s">
        <v>51</v>
      </c>
      <c r="C546" s="4" t="s">
        <v>487</v>
      </c>
      <c r="D546" s="4" t="s">
        <v>96</v>
      </c>
      <c r="E546" s="4" t="s">
        <v>487</v>
      </c>
      <c r="F546" s="29"/>
    </row>
    <row r="547" spans="1:6" x14ac:dyDescent="0.25">
      <c r="A547" t="s">
        <v>483</v>
      </c>
      <c r="B547" t="s">
        <v>51</v>
      </c>
      <c r="C547" s="4" t="s">
        <v>487</v>
      </c>
      <c r="D547" s="4" t="s">
        <v>174</v>
      </c>
      <c r="E547" s="4" t="s">
        <v>487</v>
      </c>
      <c r="F547" s="29"/>
    </row>
    <row r="548" spans="1:6" x14ac:dyDescent="0.25">
      <c r="A548" t="s">
        <v>483</v>
      </c>
      <c r="B548" t="s">
        <v>51</v>
      </c>
      <c r="C548" s="4">
        <v>15</v>
      </c>
      <c r="D548" s="4" t="s">
        <v>372</v>
      </c>
      <c r="E548" s="4" t="s">
        <v>487</v>
      </c>
      <c r="F548" s="29">
        <v>0.2</v>
      </c>
    </row>
    <row r="549" spans="1:6" x14ac:dyDescent="0.25">
      <c r="A549" t="s">
        <v>483</v>
      </c>
      <c r="B549" t="s">
        <v>51</v>
      </c>
      <c r="C549" s="4" t="s">
        <v>487</v>
      </c>
      <c r="D549" s="4" t="s">
        <v>106</v>
      </c>
      <c r="E549" s="4" t="s">
        <v>36</v>
      </c>
      <c r="F549" s="29"/>
    </row>
    <row r="550" spans="1:6" x14ac:dyDescent="0.25">
      <c r="A550" t="s">
        <v>483</v>
      </c>
      <c r="B550" t="s">
        <v>51</v>
      </c>
      <c r="C550" s="4" t="s">
        <v>487</v>
      </c>
      <c r="D550" s="4" t="s">
        <v>131</v>
      </c>
      <c r="E550" s="4" t="s">
        <v>487</v>
      </c>
      <c r="F550" s="29"/>
    </row>
    <row r="551" spans="1:6" x14ac:dyDescent="0.25">
      <c r="A551" t="s">
        <v>483</v>
      </c>
      <c r="B551" t="s">
        <v>51</v>
      </c>
      <c r="C551" s="4" t="s">
        <v>487</v>
      </c>
      <c r="D551" s="4" t="s">
        <v>127</v>
      </c>
      <c r="E551" s="4" t="s">
        <v>487</v>
      </c>
      <c r="F551" s="29"/>
    </row>
    <row r="552" spans="1:6" x14ac:dyDescent="0.25">
      <c r="A552" t="s">
        <v>483</v>
      </c>
      <c r="B552" t="s">
        <v>51</v>
      </c>
      <c r="C552" s="4" t="s">
        <v>487</v>
      </c>
      <c r="D552" s="4" t="s">
        <v>155</v>
      </c>
      <c r="E552" s="4" t="s">
        <v>487</v>
      </c>
      <c r="F552" s="29"/>
    </row>
    <row r="553" spans="1:6" x14ac:dyDescent="0.25">
      <c r="A553" t="s">
        <v>483</v>
      </c>
      <c r="B553" t="s">
        <v>51</v>
      </c>
      <c r="C553" s="4">
        <v>16</v>
      </c>
      <c r="D553" s="4" t="s">
        <v>371</v>
      </c>
      <c r="E553" s="4" t="s">
        <v>487</v>
      </c>
      <c r="F553" s="29">
        <v>0.2</v>
      </c>
    </row>
    <row r="554" spans="1:6" x14ac:dyDescent="0.25">
      <c r="A554" t="s">
        <v>483</v>
      </c>
      <c r="B554" t="s">
        <v>51</v>
      </c>
      <c r="C554" s="4" t="s">
        <v>487</v>
      </c>
      <c r="D554" s="4" t="s">
        <v>194</v>
      </c>
      <c r="E554" s="4" t="s">
        <v>36</v>
      </c>
      <c r="F554" s="29"/>
    </row>
    <row r="555" spans="1:6" x14ac:dyDescent="0.25">
      <c r="A555" t="s">
        <v>483</v>
      </c>
      <c r="B555" t="s">
        <v>51</v>
      </c>
      <c r="C555" s="4" t="s">
        <v>487</v>
      </c>
      <c r="D555" s="4" t="s">
        <v>192</v>
      </c>
      <c r="E555" s="4" t="s">
        <v>487</v>
      </c>
      <c r="F555" s="29"/>
    </row>
    <row r="556" spans="1:6" x14ac:dyDescent="0.25">
      <c r="A556" t="s">
        <v>483</v>
      </c>
      <c r="B556" t="s">
        <v>51</v>
      </c>
      <c r="C556" s="4" t="s">
        <v>487</v>
      </c>
      <c r="D556" s="4" t="s">
        <v>193</v>
      </c>
      <c r="E556" s="4" t="s">
        <v>487</v>
      </c>
      <c r="F556" s="29"/>
    </row>
    <row r="557" spans="1:6" x14ac:dyDescent="0.25">
      <c r="A557" t="s">
        <v>483</v>
      </c>
      <c r="B557" t="s">
        <v>51</v>
      </c>
      <c r="C557" s="4" t="s">
        <v>487</v>
      </c>
      <c r="D557" s="4" t="s">
        <v>96</v>
      </c>
      <c r="E557" s="4" t="s">
        <v>487</v>
      </c>
      <c r="F557" s="29"/>
    </row>
    <row r="558" spans="1:6" x14ac:dyDescent="0.25">
      <c r="A558" t="s">
        <v>483</v>
      </c>
      <c r="B558" t="s">
        <v>51</v>
      </c>
      <c r="C558" s="4">
        <v>17</v>
      </c>
      <c r="D558" s="4" t="s">
        <v>370</v>
      </c>
      <c r="E558" s="4" t="s">
        <v>487</v>
      </c>
      <c r="F558" s="29">
        <v>0.2</v>
      </c>
    </row>
    <row r="559" spans="1:6" x14ac:dyDescent="0.25">
      <c r="A559" t="s">
        <v>483</v>
      </c>
      <c r="B559" t="s">
        <v>51</v>
      </c>
      <c r="C559" s="4" t="s">
        <v>487</v>
      </c>
      <c r="D559" s="4" t="s">
        <v>195</v>
      </c>
      <c r="E559" s="4" t="s">
        <v>36</v>
      </c>
      <c r="F559" s="29"/>
    </row>
    <row r="560" spans="1:6" x14ac:dyDescent="0.25">
      <c r="A560" t="s">
        <v>483</v>
      </c>
      <c r="B560" t="s">
        <v>51</v>
      </c>
      <c r="C560" s="4" t="s">
        <v>487</v>
      </c>
      <c r="D560" s="4" t="s">
        <v>131</v>
      </c>
      <c r="E560" s="4" t="s">
        <v>487</v>
      </c>
      <c r="F560" s="29"/>
    </row>
    <row r="561" spans="1:6" x14ac:dyDescent="0.25">
      <c r="A561" t="s">
        <v>483</v>
      </c>
      <c r="B561" t="s">
        <v>51</v>
      </c>
      <c r="C561" s="4" t="s">
        <v>487</v>
      </c>
      <c r="D561" s="4" t="s">
        <v>96</v>
      </c>
      <c r="E561" s="4" t="s">
        <v>487</v>
      </c>
      <c r="F561" s="29"/>
    </row>
    <row r="562" spans="1:6" x14ac:dyDescent="0.25">
      <c r="A562" t="s">
        <v>483</v>
      </c>
      <c r="B562" t="s">
        <v>51</v>
      </c>
      <c r="C562" s="4" t="s">
        <v>487</v>
      </c>
      <c r="D562" s="4" t="s">
        <v>192</v>
      </c>
      <c r="E562" s="4" t="s">
        <v>487</v>
      </c>
      <c r="F562" s="29"/>
    </row>
    <row r="563" spans="1:6" x14ac:dyDescent="0.25">
      <c r="A563" t="s">
        <v>483</v>
      </c>
      <c r="B563" t="s">
        <v>51</v>
      </c>
      <c r="C563" s="4">
        <v>18</v>
      </c>
      <c r="D563" s="4" t="s">
        <v>369</v>
      </c>
      <c r="E563" s="4" t="s">
        <v>487</v>
      </c>
      <c r="F563" s="29">
        <v>0.2</v>
      </c>
    </row>
    <row r="564" spans="1:6" x14ac:dyDescent="0.25">
      <c r="A564" t="s">
        <v>483</v>
      </c>
      <c r="B564" t="s">
        <v>51</v>
      </c>
      <c r="C564" s="4" t="s">
        <v>487</v>
      </c>
      <c r="D564" s="4" t="s">
        <v>90</v>
      </c>
      <c r="E564" s="4" t="s">
        <v>36</v>
      </c>
      <c r="F564" s="29"/>
    </row>
    <row r="565" spans="1:6" x14ac:dyDescent="0.25">
      <c r="A565" t="s">
        <v>483</v>
      </c>
      <c r="B565" t="s">
        <v>51</v>
      </c>
      <c r="C565" s="4" t="s">
        <v>487</v>
      </c>
      <c r="D565" s="4" t="s">
        <v>131</v>
      </c>
      <c r="E565" s="4" t="s">
        <v>487</v>
      </c>
      <c r="F565" s="29"/>
    </row>
    <row r="566" spans="1:6" x14ac:dyDescent="0.25">
      <c r="A566" t="s">
        <v>483</v>
      </c>
      <c r="B566" t="s">
        <v>51</v>
      </c>
      <c r="C566" s="4" t="s">
        <v>487</v>
      </c>
      <c r="D566" s="4" t="s">
        <v>156</v>
      </c>
      <c r="E566" s="4" t="s">
        <v>487</v>
      </c>
      <c r="F566" s="29"/>
    </row>
    <row r="567" spans="1:6" x14ac:dyDescent="0.25">
      <c r="A567" t="s">
        <v>483</v>
      </c>
      <c r="B567" t="s">
        <v>51</v>
      </c>
      <c r="C567" s="4" t="s">
        <v>487</v>
      </c>
      <c r="D567" s="4" t="s">
        <v>126</v>
      </c>
      <c r="E567" s="4" t="s">
        <v>487</v>
      </c>
      <c r="F567" s="29"/>
    </row>
    <row r="568" spans="1:6" x14ac:dyDescent="0.25">
      <c r="A568" t="s">
        <v>483</v>
      </c>
      <c r="B568" t="s">
        <v>51</v>
      </c>
      <c r="C568" s="4">
        <v>19</v>
      </c>
      <c r="D568" s="4" t="s">
        <v>314</v>
      </c>
      <c r="E568" s="4" t="s">
        <v>487</v>
      </c>
      <c r="F568" s="29">
        <v>0.2</v>
      </c>
    </row>
    <row r="569" spans="1:6" x14ac:dyDescent="0.25">
      <c r="A569" t="s">
        <v>483</v>
      </c>
      <c r="B569" t="s">
        <v>51</v>
      </c>
      <c r="C569" s="4" t="s">
        <v>487</v>
      </c>
      <c r="D569" s="4" t="s">
        <v>316</v>
      </c>
      <c r="E569" s="4" t="s">
        <v>487</v>
      </c>
      <c r="F569" s="29"/>
    </row>
    <row r="570" spans="1:6" x14ac:dyDescent="0.25">
      <c r="A570" t="s">
        <v>483</v>
      </c>
      <c r="B570" t="s">
        <v>51</v>
      </c>
      <c r="C570" s="4" t="s">
        <v>487</v>
      </c>
      <c r="D570" s="4" t="s">
        <v>205</v>
      </c>
      <c r="E570" s="4" t="s">
        <v>487</v>
      </c>
      <c r="F570" s="29"/>
    </row>
    <row r="571" spans="1:6" x14ac:dyDescent="0.25">
      <c r="A571" t="s">
        <v>483</v>
      </c>
      <c r="B571" t="s">
        <v>51</v>
      </c>
      <c r="C571" s="4" t="s">
        <v>487</v>
      </c>
      <c r="D571" s="4" t="s">
        <v>304</v>
      </c>
      <c r="E571" s="4" t="s">
        <v>487</v>
      </c>
      <c r="F571" s="29"/>
    </row>
    <row r="572" spans="1:6" x14ac:dyDescent="0.25">
      <c r="A572" t="s">
        <v>483</v>
      </c>
      <c r="B572" t="s">
        <v>51</v>
      </c>
      <c r="C572" s="4" t="s">
        <v>487</v>
      </c>
      <c r="D572" s="4" t="s">
        <v>315</v>
      </c>
      <c r="E572" s="4" t="s">
        <v>67</v>
      </c>
      <c r="F572" s="29"/>
    </row>
    <row r="573" spans="1:6" x14ac:dyDescent="0.25">
      <c r="A573" t="s">
        <v>483</v>
      </c>
      <c r="B573" t="s">
        <v>51</v>
      </c>
      <c r="C573" s="4">
        <v>20</v>
      </c>
      <c r="D573" s="4" t="s">
        <v>307</v>
      </c>
      <c r="E573" s="4" t="s">
        <v>487</v>
      </c>
      <c r="F573" s="29">
        <v>0.2</v>
      </c>
    </row>
    <row r="574" spans="1:6" x14ac:dyDescent="0.25">
      <c r="A574" t="s">
        <v>483</v>
      </c>
      <c r="B574" t="s">
        <v>51</v>
      </c>
      <c r="C574" s="4" t="s">
        <v>487</v>
      </c>
      <c r="D574" s="4" t="s">
        <v>308</v>
      </c>
      <c r="E574" s="4" t="s">
        <v>36</v>
      </c>
      <c r="F574" s="29"/>
    </row>
    <row r="575" spans="1:6" x14ac:dyDescent="0.25">
      <c r="A575" t="s">
        <v>483</v>
      </c>
      <c r="B575" t="s">
        <v>51</v>
      </c>
      <c r="C575" s="4" t="s">
        <v>487</v>
      </c>
      <c r="D575" s="4" t="s">
        <v>140</v>
      </c>
      <c r="E575" s="4" t="s">
        <v>487</v>
      </c>
      <c r="F575" s="29"/>
    </row>
    <row r="576" spans="1:6" x14ac:dyDescent="0.25">
      <c r="A576" t="s">
        <v>483</v>
      </c>
      <c r="B576" t="s">
        <v>51</v>
      </c>
      <c r="C576" s="4" t="s">
        <v>487</v>
      </c>
      <c r="D576" s="4" t="s">
        <v>309</v>
      </c>
      <c r="E576" s="4" t="s">
        <v>487</v>
      </c>
      <c r="F576" s="29"/>
    </row>
    <row r="577" spans="1:6" x14ac:dyDescent="0.25">
      <c r="A577" t="s">
        <v>483</v>
      </c>
      <c r="B577" t="s">
        <v>51</v>
      </c>
      <c r="C577" s="4" t="s">
        <v>487</v>
      </c>
      <c r="D577" s="4" t="s">
        <v>310</v>
      </c>
      <c r="E577" s="4" t="s">
        <v>487</v>
      </c>
      <c r="F577" s="29"/>
    </row>
    <row r="578" spans="1:6" x14ac:dyDescent="0.25">
      <c r="A578" t="s">
        <v>483</v>
      </c>
      <c r="B578" t="s">
        <v>51</v>
      </c>
      <c r="C578" s="4">
        <v>21</v>
      </c>
      <c r="D578" s="4" t="s">
        <v>368</v>
      </c>
      <c r="E578" s="4" t="s">
        <v>487</v>
      </c>
      <c r="F578" s="29">
        <v>0.2</v>
      </c>
    </row>
    <row r="579" spans="1:6" x14ac:dyDescent="0.25">
      <c r="A579" t="s">
        <v>483</v>
      </c>
      <c r="B579" t="s">
        <v>51</v>
      </c>
      <c r="C579" s="4" t="s">
        <v>487</v>
      </c>
      <c r="D579" s="4" t="s">
        <v>139</v>
      </c>
      <c r="E579" s="4" t="s">
        <v>9</v>
      </c>
      <c r="F579" s="29"/>
    </row>
    <row r="580" spans="1:6" x14ac:dyDescent="0.25">
      <c r="A580" t="s">
        <v>483</v>
      </c>
      <c r="B580" t="s">
        <v>51</v>
      </c>
      <c r="C580" s="4" t="s">
        <v>487</v>
      </c>
      <c r="D580" s="4" t="s">
        <v>131</v>
      </c>
      <c r="E580" s="4" t="s">
        <v>487</v>
      </c>
      <c r="F580" s="29"/>
    </row>
    <row r="581" spans="1:6" x14ac:dyDescent="0.25">
      <c r="A581" t="s">
        <v>483</v>
      </c>
      <c r="B581" t="s">
        <v>51</v>
      </c>
      <c r="C581" s="4" t="s">
        <v>487</v>
      </c>
      <c r="D581" s="4" t="s">
        <v>177</v>
      </c>
      <c r="E581" s="4" t="s">
        <v>487</v>
      </c>
      <c r="F581" s="29"/>
    </row>
    <row r="582" spans="1:6" x14ac:dyDescent="0.25">
      <c r="A582" t="s">
        <v>483</v>
      </c>
      <c r="B582" t="s">
        <v>51</v>
      </c>
      <c r="C582" s="4" t="s">
        <v>487</v>
      </c>
      <c r="D582" s="4" t="s">
        <v>97</v>
      </c>
      <c r="E582" s="4" t="s">
        <v>487</v>
      </c>
      <c r="F582" s="29"/>
    </row>
    <row r="583" spans="1:6" x14ac:dyDescent="0.25">
      <c r="A583" t="s">
        <v>483</v>
      </c>
      <c r="B583" t="s">
        <v>51</v>
      </c>
      <c r="C583" s="4">
        <v>22</v>
      </c>
      <c r="D583" s="4" t="s">
        <v>324</v>
      </c>
      <c r="E583" s="4" t="s">
        <v>487</v>
      </c>
      <c r="F583" s="29">
        <v>0.2</v>
      </c>
    </row>
    <row r="584" spans="1:6" x14ac:dyDescent="0.25">
      <c r="A584" t="s">
        <v>483</v>
      </c>
      <c r="B584" t="s">
        <v>51</v>
      </c>
      <c r="C584" s="4" t="s">
        <v>487</v>
      </c>
      <c r="D584" s="4" t="s">
        <v>260</v>
      </c>
      <c r="E584" s="4" t="s">
        <v>487</v>
      </c>
      <c r="F584" s="29"/>
    </row>
    <row r="585" spans="1:6" x14ac:dyDescent="0.25">
      <c r="A585" t="s">
        <v>483</v>
      </c>
      <c r="B585" t="s">
        <v>51</v>
      </c>
      <c r="C585" s="4" t="s">
        <v>487</v>
      </c>
      <c r="D585" s="4" t="s">
        <v>303</v>
      </c>
      <c r="E585" s="4" t="s">
        <v>487</v>
      </c>
      <c r="F585" s="29"/>
    </row>
    <row r="586" spans="1:6" x14ac:dyDescent="0.25">
      <c r="A586" t="s">
        <v>483</v>
      </c>
      <c r="B586" t="s">
        <v>51</v>
      </c>
      <c r="C586" s="4" t="s">
        <v>487</v>
      </c>
      <c r="D586" s="4" t="s">
        <v>304</v>
      </c>
      <c r="E586" s="4" t="s">
        <v>17</v>
      </c>
      <c r="F586" s="29"/>
    </row>
    <row r="587" spans="1:6" x14ac:dyDescent="0.25">
      <c r="A587" t="s">
        <v>483</v>
      </c>
      <c r="B587" t="s">
        <v>51</v>
      </c>
      <c r="C587" s="4" t="s">
        <v>487</v>
      </c>
      <c r="D587" s="4" t="s">
        <v>305</v>
      </c>
      <c r="E587" s="4" t="s">
        <v>487</v>
      </c>
      <c r="F587" s="29"/>
    </row>
    <row r="588" spans="1:6" x14ac:dyDescent="0.25">
      <c r="A588" t="s">
        <v>483</v>
      </c>
      <c r="B588" t="s">
        <v>51</v>
      </c>
      <c r="C588" s="4">
        <v>23</v>
      </c>
      <c r="D588" s="4" t="s">
        <v>375</v>
      </c>
      <c r="E588" s="4" t="s">
        <v>487</v>
      </c>
      <c r="F588" s="29">
        <v>0.2</v>
      </c>
    </row>
    <row r="589" spans="1:6" x14ac:dyDescent="0.25">
      <c r="A589" t="s">
        <v>483</v>
      </c>
      <c r="B589" t="s">
        <v>51</v>
      </c>
      <c r="C589" s="4" t="s">
        <v>487</v>
      </c>
      <c r="D589" s="4" t="s">
        <v>200</v>
      </c>
      <c r="E589" s="4" t="s">
        <v>36</v>
      </c>
      <c r="F589" s="29"/>
    </row>
    <row r="590" spans="1:6" x14ac:dyDescent="0.25">
      <c r="A590" t="s">
        <v>483</v>
      </c>
      <c r="B590" t="s">
        <v>51</v>
      </c>
      <c r="C590" s="4" t="s">
        <v>487</v>
      </c>
      <c r="D590" s="4" t="s">
        <v>97</v>
      </c>
      <c r="E590" s="4" t="s">
        <v>487</v>
      </c>
      <c r="F590" s="29"/>
    </row>
    <row r="591" spans="1:6" x14ac:dyDescent="0.25">
      <c r="A591" t="s">
        <v>483</v>
      </c>
      <c r="B591" t="s">
        <v>51</v>
      </c>
      <c r="C591" s="4" t="s">
        <v>487</v>
      </c>
      <c r="D591" s="4" t="s">
        <v>96</v>
      </c>
      <c r="E591" s="4" t="s">
        <v>487</v>
      </c>
      <c r="F591" s="29"/>
    </row>
    <row r="592" spans="1:6" x14ac:dyDescent="0.25">
      <c r="A592" t="s">
        <v>483</v>
      </c>
      <c r="B592" t="s">
        <v>51</v>
      </c>
      <c r="C592" s="4" t="s">
        <v>487</v>
      </c>
      <c r="D592" s="4" t="s">
        <v>178</v>
      </c>
      <c r="E592" s="4" t="s">
        <v>487</v>
      </c>
      <c r="F592" s="29"/>
    </row>
    <row r="593" spans="1:6" x14ac:dyDescent="0.25">
      <c r="A593" t="s">
        <v>483</v>
      </c>
      <c r="B593" t="s">
        <v>51</v>
      </c>
      <c r="C593" s="4">
        <v>24</v>
      </c>
      <c r="D593" s="4" t="s">
        <v>175</v>
      </c>
      <c r="E593" s="4" t="s">
        <v>487</v>
      </c>
      <c r="F593" s="29">
        <v>0.2</v>
      </c>
    </row>
    <row r="594" spans="1:6" x14ac:dyDescent="0.25">
      <c r="A594" t="s">
        <v>483</v>
      </c>
      <c r="B594" t="s">
        <v>51</v>
      </c>
      <c r="C594" s="4" t="s">
        <v>487</v>
      </c>
      <c r="D594" s="4" t="s">
        <v>176</v>
      </c>
      <c r="E594" s="4" t="s">
        <v>487</v>
      </c>
      <c r="F594" s="29"/>
    </row>
    <row r="595" spans="1:6" x14ac:dyDescent="0.25">
      <c r="A595" t="s">
        <v>483</v>
      </c>
      <c r="B595" t="s">
        <v>51</v>
      </c>
      <c r="C595" s="4" t="s">
        <v>487</v>
      </c>
      <c r="D595" s="4" t="s">
        <v>177</v>
      </c>
      <c r="E595" s="4" t="s">
        <v>487</v>
      </c>
      <c r="F595" s="29"/>
    </row>
    <row r="596" spans="1:6" x14ac:dyDescent="0.25">
      <c r="A596" t="s">
        <v>483</v>
      </c>
      <c r="B596" t="s">
        <v>51</v>
      </c>
      <c r="C596" s="4" t="s">
        <v>487</v>
      </c>
      <c r="D596" s="4" t="s">
        <v>178</v>
      </c>
      <c r="E596" s="4" t="s">
        <v>487</v>
      </c>
      <c r="F596" s="29"/>
    </row>
    <row r="597" spans="1:6" x14ac:dyDescent="0.25">
      <c r="A597" t="s">
        <v>483</v>
      </c>
      <c r="B597" t="s">
        <v>51</v>
      </c>
      <c r="C597" s="4" t="s">
        <v>487</v>
      </c>
      <c r="D597" s="4" t="s">
        <v>179</v>
      </c>
      <c r="E597" s="4" t="s">
        <v>67</v>
      </c>
      <c r="F597" s="29"/>
    </row>
    <row r="598" spans="1:6" x14ac:dyDescent="0.25">
      <c r="A598" t="s">
        <v>483</v>
      </c>
      <c r="B598" t="s">
        <v>51</v>
      </c>
      <c r="C598" s="4">
        <v>25</v>
      </c>
      <c r="D598" s="4" t="s">
        <v>190</v>
      </c>
      <c r="E598" s="4" t="s">
        <v>487</v>
      </c>
      <c r="F598" s="29">
        <v>0.2</v>
      </c>
    </row>
    <row r="599" spans="1:6" x14ac:dyDescent="0.25">
      <c r="A599" t="s">
        <v>483</v>
      </c>
      <c r="B599" t="s">
        <v>51</v>
      </c>
      <c r="C599" s="4" t="s">
        <v>487</v>
      </c>
      <c r="D599" s="4" t="s">
        <v>140</v>
      </c>
      <c r="E599" s="4" t="s">
        <v>487</v>
      </c>
      <c r="F599" s="29"/>
    </row>
    <row r="600" spans="1:6" x14ac:dyDescent="0.25">
      <c r="A600" t="s">
        <v>483</v>
      </c>
      <c r="B600" t="s">
        <v>51</v>
      </c>
      <c r="C600" s="4" t="s">
        <v>487</v>
      </c>
      <c r="D600" s="4" t="s">
        <v>126</v>
      </c>
      <c r="E600" s="4" t="s">
        <v>9</v>
      </c>
      <c r="F600" s="29"/>
    </row>
    <row r="601" spans="1:6" x14ac:dyDescent="0.25">
      <c r="A601" t="s">
        <v>483</v>
      </c>
      <c r="B601" t="s">
        <v>51</v>
      </c>
      <c r="C601" s="4" t="s">
        <v>487</v>
      </c>
      <c r="D601" s="4" t="s">
        <v>131</v>
      </c>
      <c r="E601" s="4" t="s">
        <v>487</v>
      </c>
      <c r="F601" s="29"/>
    </row>
    <row r="602" spans="1:6" x14ac:dyDescent="0.25">
      <c r="A602" t="s">
        <v>483</v>
      </c>
      <c r="B602" t="s">
        <v>51</v>
      </c>
      <c r="C602" s="4" t="s">
        <v>487</v>
      </c>
      <c r="D602" s="4" t="s">
        <v>127</v>
      </c>
      <c r="E602" s="4" t="s">
        <v>487</v>
      </c>
      <c r="F602" s="29"/>
    </row>
    <row r="603" spans="1:6" x14ac:dyDescent="0.25">
      <c r="A603" t="s">
        <v>483</v>
      </c>
      <c r="B603" t="s">
        <v>51</v>
      </c>
      <c r="C603" s="4">
        <v>26</v>
      </c>
      <c r="D603" s="4" t="s">
        <v>367</v>
      </c>
      <c r="E603" s="4" t="s">
        <v>487</v>
      </c>
      <c r="F603" s="29">
        <v>0.2</v>
      </c>
    </row>
    <row r="604" spans="1:6" x14ac:dyDescent="0.25">
      <c r="A604" t="s">
        <v>483</v>
      </c>
      <c r="B604" t="s">
        <v>51</v>
      </c>
      <c r="C604" s="4" t="s">
        <v>487</v>
      </c>
      <c r="D604" s="4" t="s">
        <v>96</v>
      </c>
      <c r="E604" s="4" t="s">
        <v>36</v>
      </c>
      <c r="F604" s="29"/>
    </row>
    <row r="605" spans="1:6" x14ac:dyDescent="0.25">
      <c r="A605" t="s">
        <v>483</v>
      </c>
      <c r="B605" t="s">
        <v>51</v>
      </c>
      <c r="C605" s="4" t="s">
        <v>487</v>
      </c>
      <c r="D605" s="4" t="s">
        <v>131</v>
      </c>
      <c r="E605" s="4" t="s">
        <v>487</v>
      </c>
      <c r="F605" s="29"/>
    </row>
    <row r="606" spans="1:6" x14ac:dyDescent="0.25">
      <c r="A606" t="s">
        <v>483</v>
      </c>
      <c r="B606" t="s">
        <v>51</v>
      </c>
      <c r="C606" s="4" t="s">
        <v>487</v>
      </c>
      <c r="D606" s="4" t="s">
        <v>156</v>
      </c>
      <c r="E606" s="4" t="s">
        <v>487</v>
      </c>
      <c r="F606" s="29"/>
    </row>
    <row r="607" spans="1:6" x14ac:dyDescent="0.25">
      <c r="A607" t="s">
        <v>483</v>
      </c>
      <c r="B607" t="s">
        <v>51</v>
      </c>
      <c r="C607" s="4" t="s">
        <v>487</v>
      </c>
      <c r="D607" s="4" t="s">
        <v>127</v>
      </c>
      <c r="E607" s="4" t="s">
        <v>487</v>
      </c>
      <c r="F607" s="29"/>
    </row>
    <row r="608" spans="1:6" x14ac:dyDescent="0.25">
      <c r="A608" t="s">
        <v>483</v>
      </c>
      <c r="B608" t="s">
        <v>51</v>
      </c>
      <c r="C608" s="4">
        <v>27</v>
      </c>
      <c r="D608" s="4" t="s">
        <v>197</v>
      </c>
      <c r="E608" s="4" t="s">
        <v>487</v>
      </c>
      <c r="F608" s="29">
        <v>0.2</v>
      </c>
    </row>
    <row r="609" spans="1:6" x14ac:dyDescent="0.25">
      <c r="A609" t="s">
        <v>483</v>
      </c>
      <c r="B609" t="s">
        <v>51</v>
      </c>
      <c r="C609" s="4" t="s">
        <v>487</v>
      </c>
      <c r="D609" s="4" t="s">
        <v>198</v>
      </c>
      <c r="E609" s="4" t="s">
        <v>36</v>
      </c>
      <c r="F609" s="29"/>
    </row>
    <row r="610" spans="1:6" x14ac:dyDescent="0.25">
      <c r="A610" t="s">
        <v>483</v>
      </c>
      <c r="B610" t="s">
        <v>51</v>
      </c>
      <c r="C610" s="4" t="s">
        <v>487</v>
      </c>
      <c r="D610" s="4" t="s">
        <v>137</v>
      </c>
      <c r="E610" s="4" t="s">
        <v>487</v>
      </c>
      <c r="F610" s="29"/>
    </row>
    <row r="611" spans="1:6" x14ac:dyDescent="0.25">
      <c r="A611" t="s">
        <v>483</v>
      </c>
      <c r="B611" t="s">
        <v>51</v>
      </c>
      <c r="C611" s="4" t="s">
        <v>487</v>
      </c>
      <c r="D611" s="4" t="s">
        <v>196</v>
      </c>
      <c r="E611" s="4" t="s">
        <v>487</v>
      </c>
      <c r="F611" s="29"/>
    </row>
    <row r="612" spans="1:6" x14ac:dyDescent="0.25">
      <c r="A612" t="s">
        <v>483</v>
      </c>
      <c r="B612" t="s">
        <v>51</v>
      </c>
      <c r="C612" s="4" t="s">
        <v>487</v>
      </c>
      <c r="D612" s="4" t="s">
        <v>191</v>
      </c>
      <c r="E612" s="4" t="s">
        <v>487</v>
      </c>
      <c r="F612" s="29"/>
    </row>
    <row r="623" spans="1:6" x14ac:dyDescent="0.25">
      <c r="F623">
        <v>0.2</v>
      </c>
    </row>
    <row r="628" spans="6:6" x14ac:dyDescent="0.25">
      <c r="F628">
        <v>0.2</v>
      </c>
    </row>
    <row r="633" spans="6:6" x14ac:dyDescent="0.25">
      <c r="F633">
        <v>0.2</v>
      </c>
    </row>
    <row r="638" spans="6:6" x14ac:dyDescent="0.25">
      <c r="F638">
        <v>0.2</v>
      </c>
    </row>
    <row r="643" spans="6:6" x14ac:dyDescent="0.25">
      <c r="F643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DAB6-039E-4214-BC47-3D87DA0A23E7}">
  <dimension ref="A1:F643"/>
  <sheetViews>
    <sheetView zoomScale="130" zoomScaleNormal="130" workbookViewId="0">
      <selection activeCell="D70" sqref="D70:E184"/>
    </sheetView>
  </sheetViews>
  <sheetFormatPr defaultRowHeight="16.5" x14ac:dyDescent="0.25"/>
  <cols>
    <col min="1" max="1" width="14.42578125" customWidth="1"/>
    <col min="2" max="2" width="16.140625" customWidth="1"/>
    <col min="3" max="3" width="9.140625" style="26"/>
    <col min="4" max="4" width="74" style="26" customWidth="1"/>
    <col min="5" max="5" width="12" style="26" customWidth="1"/>
  </cols>
  <sheetData>
    <row r="1" spans="1:6" ht="33" x14ac:dyDescent="0.25">
      <c r="A1" t="s">
        <v>484</v>
      </c>
      <c r="B1" t="s">
        <v>347</v>
      </c>
      <c r="C1" s="27" t="s">
        <v>490</v>
      </c>
      <c r="D1" s="27" t="s">
        <v>491</v>
      </c>
      <c r="E1" s="27" t="s">
        <v>486</v>
      </c>
      <c r="F1" s="27" t="s">
        <v>492</v>
      </c>
    </row>
    <row r="2" spans="1:6" x14ac:dyDescent="0.25">
      <c r="C2" s="4"/>
      <c r="D2" s="28" t="s">
        <v>480</v>
      </c>
      <c r="E2" s="4"/>
      <c r="F2" s="29"/>
    </row>
    <row r="3" spans="1:6" x14ac:dyDescent="0.25">
      <c r="C3" s="4"/>
      <c r="D3" s="28" t="s">
        <v>488</v>
      </c>
      <c r="E3" s="4"/>
      <c r="F3" s="29"/>
    </row>
    <row r="4" spans="1:6" x14ac:dyDescent="0.25">
      <c r="A4" t="s">
        <v>480</v>
      </c>
      <c r="B4" t="s">
        <v>10</v>
      </c>
      <c r="C4" s="4">
        <v>1</v>
      </c>
      <c r="D4" s="4" t="s">
        <v>289</v>
      </c>
      <c r="E4" s="4" t="s">
        <v>487</v>
      </c>
      <c r="F4" s="29">
        <v>0.2</v>
      </c>
    </row>
    <row r="5" spans="1:6" x14ac:dyDescent="0.25">
      <c r="A5" t="s">
        <v>480</v>
      </c>
      <c r="B5" t="s">
        <v>10</v>
      </c>
      <c r="C5" s="4" t="s">
        <v>487</v>
      </c>
      <c r="D5" s="4" t="s">
        <v>290</v>
      </c>
      <c r="E5" s="4" t="s">
        <v>36</v>
      </c>
      <c r="F5" s="29"/>
    </row>
    <row r="6" spans="1:6" x14ac:dyDescent="0.25">
      <c r="A6" t="s">
        <v>480</v>
      </c>
      <c r="B6" t="s">
        <v>10</v>
      </c>
      <c r="C6" s="4" t="s">
        <v>487</v>
      </c>
      <c r="D6" s="4" t="s">
        <v>291</v>
      </c>
      <c r="E6" s="4" t="s">
        <v>487</v>
      </c>
      <c r="F6" s="29"/>
    </row>
    <row r="7" spans="1:6" x14ac:dyDescent="0.25">
      <c r="A7" t="s">
        <v>480</v>
      </c>
      <c r="B7" t="s">
        <v>10</v>
      </c>
      <c r="C7" s="4" t="s">
        <v>487</v>
      </c>
      <c r="D7" s="4" t="s">
        <v>292</v>
      </c>
      <c r="E7" s="4" t="s">
        <v>487</v>
      </c>
      <c r="F7" s="29"/>
    </row>
    <row r="8" spans="1:6" x14ac:dyDescent="0.25">
      <c r="A8" t="s">
        <v>480</v>
      </c>
      <c r="B8" t="s">
        <v>10</v>
      </c>
      <c r="C8" s="4" t="s">
        <v>487</v>
      </c>
      <c r="D8" s="4" t="s">
        <v>293</v>
      </c>
      <c r="E8" s="4" t="s">
        <v>487</v>
      </c>
      <c r="F8" s="29"/>
    </row>
    <row r="9" spans="1:6" x14ac:dyDescent="0.25">
      <c r="A9" t="s">
        <v>480</v>
      </c>
      <c r="B9" t="s">
        <v>10</v>
      </c>
      <c r="C9" s="4">
        <v>2</v>
      </c>
      <c r="D9" s="4" t="s">
        <v>348</v>
      </c>
      <c r="E9" s="4" t="s">
        <v>487</v>
      </c>
      <c r="F9" s="29">
        <v>0.2</v>
      </c>
    </row>
    <row r="10" spans="1:6" x14ac:dyDescent="0.25">
      <c r="A10" t="s">
        <v>480</v>
      </c>
      <c r="B10" t="s">
        <v>10</v>
      </c>
      <c r="C10" s="4" t="s">
        <v>487</v>
      </c>
      <c r="D10" s="4" t="s">
        <v>39</v>
      </c>
      <c r="E10" s="4" t="s">
        <v>487</v>
      </c>
      <c r="F10" s="29"/>
    </row>
    <row r="11" spans="1:6" x14ac:dyDescent="0.25">
      <c r="A11" t="s">
        <v>480</v>
      </c>
      <c r="B11" t="s">
        <v>10</v>
      </c>
      <c r="C11" s="4" t="s">
        <v>487</v>
      </c>
      <c r="D11" s="4" t="s">
        <v>40</v>
      </c>
      <c r="E11" s="4" t="s">
        <v>9</v>
      </c>
      <c r="F11" s="29"/>
    </row>
    <row r="12" spans="1:6" x14ac:dyDescent="0.25">
      <c r="A12" t="s">
        <v>480</v>
      </c>
      <c r="B12" t="s">
        <v>10</v>
      </c>
      <c r="C12" s="4" t="s">
        <v>487</v>
      </c>
      <c r="D12" s="4" t="s">
        <v>41</v>
      </c>
      <c r="E12" s="4" t="s">
        <v>487</v>
      </c>
      <c r="F12" s="29"/>
    </row>
    <row r="13" spans="1:6" x14ac:dyDescent="0.25">
      <c r="A13" t="s">
        <v>480</v>
      </c>
      <c r="B13" t="s">
        <v>10</v>
      </c>
      <c r="C13" s="4" t="s">
        <v>487</v>
      </c>
      <c r="D13" s="4" t="s">
        <v>42</v>
      </c>
      <c r="E13" s="4" t="s">
        <v>487</v>
      </c>
      <c r="F13" s="29"/>
    </row>
    <row r="14" spans="1:6" x14ac:dyDescent="0.25">
      <c r="A14" t="s">
        <v>480</v>
      </c>
      <c r="B14" t="s">
        <v>10</v>
      </c>
      <c r="C14" s="4">
        <v>3</v>
      </c>
      <c r="D14" s="4" t="s">
        <v>331</v>
      </c>
      <c r="E14" s="4" t="s">
        <v>487</v>
      </c>
      <c r="F14" s="29">
        <v>0.2</v>
      </c>
    </row>
    <row r="15" spans="1:6" x14ac:dyDescent="0.25">
      <c r="A15" t="s">
        <v>480</v>
      </c>
      <c r="B15" t="s">
        <v>10</v>
      </c>
      <c r="C15" s="4" t="s">
        <v>487</v>
      </c>
      <c r="D15" s="4" t="s">
        <v>332</v>
      </c>
      <c r="E15" s="4" t="s">
        <v>36</v>
      </c>
      <c r="F15" s="29"/>
    </row>
    <row r="16" spans="1:6" x14ac:dyDescent="0.25">
      <c r="A16" t="s">
        <v>480</v>
      </c>
      <c r="B16" t="s">
        <v>10</v>
      </c>
      <c r="C16" s="4" t="s">
        <v>487</v>
      </c>
      <c r="D16" s="4" t="s">
        <v>333</v>
      </c>
      <c r="E16" s="4" t="s">
        <v>487</v>
      </c>
      <c r="F16" s="29"/>
    </row>
    <row r="17" spans="1:6" x14ac:dyDescent="0.25">
      <c r="A17" t="s">
        <v>480</v>
      </c>
      <c r="B17" t="s">
        <v>10</v>
      </c>
      <c r="C17" s="4" t="s">
        <v>487</v>
      </c>
      <c r="D17" s="4" t="s">
        <v>334</v>
      </c>
      <c r="E17" s="4" t="s">
        <v>487</v>
      </c>
      <c r="F17" s="29"/>
    </row>
    <row r="18" spans="1:6" x14ac:dyDescent="0.25">
      <c r="A18" t="s">
        <v>480</v>
      </c>
      <c r="B18" t="s">
        <v>10</v>
      </c>
      <c r="C18" s="4" t="s">
        <v>487</v>
      </c>
      <c r="D18" s="4" t="s">
        <v>335</v>
      </c>
      <c r="E18" s="4" t="s">
        <v>487</v>
      </c>
      <c r="F18" s="29"/>
    </row>
    <row r="19" spans="1:6" x14ac:dyDescent="0.25">
      <c r="A19" t="s">
        <v>480</v>
      </c>
      <c r="B19" t="s">
        <v>10</v>
      </c>
      <c r="C19" s="4">
        <v>4</v>
      </c>
      <c r="D19" s="4" t="s">
        <v>328</v>
      </c>
      <c r="E19" s="4" t="s">
        <v>487</v>
      </c>
      <c r="F19" s="29">
        <v>0.2</v>
      </c>
    </row>
    <row r="20" spans="1:6" x14ac:dyDescent="0.25">
      <c r="A20" t="s">
        <v>480</v>
      </c>
      <c r="B20" t="s">
        <v>10</v>
      </c>
      <c r="C20" s="4" t="s">
        <v>487</v>
      </c>
      <c r="D20" s="4" t="s">
        <v>414</v>
      </c>
      <c r="E20" s="4" t="s">
        <v>487</v>
      </c>
      <c r="F20" s="29"/>
    </row>
    <row r="21" spans="1:6" x14ac:dyDescent="0.25">
      <c r="A21" t="s">
        <v>480</v>
      </c>
      <c r="B21" t="s">
        <v>10</v>
      </c>
      <c r="C21" s="4" t="s">
        <v>487</v>
      </c>
      <c r="D21" s="4" t="s">
        <v>415</v>
      </c>
      <c r="E21" s="4" t="s">
        <v>9</v>
      </c>
      <c r="F21" s="29"/>
    </row>
    <row r="22" spans="1:6" x14ac:dyDescent="0.25">
      <c r="A22" t="s">
        <v>480</v>
      </c>
      <c r="B22" t="s">
        <v>10</v>
      </c>
      <c r="C22" s="4" t="s">
        <v>487</v>
      </c>
      <c r="D22" s="4" t="s">
        <v>416</v>
      </c>
      <c r="E22" s="4" t="s">
        <v>487</v>
      </c>
      <c r="F22" s="29"/>
    </row>
    <row r="23" spans="1:6" x14ac:dyDescent="0.25">
      <c r="A23" t="s">
        <v>480</v>
      </c>
      <c r="B23" t="s">
        <v>10</v>
      </c>
      <c r="C23" s="4" t="s">
        <v>487</v>
      </c>
      <c r="D23" s="4" t="s">
        <v>413</v>
      </c>
      <c r="E23" s="4" t="s">
        <v>487</v>
      </c>
      <c r="F23" s="29"/>
    </row>
    <row r="24" spans="1:6" x14ac:dyDescent="0.25">
      <c r="A24" t="s">
        <v>480</v>
      </c>
      <c r="B24" t="s">
        <v>10</v>
      </c>
      <c r="C24" s="4">
        <v>5</v>
      </c>
      <c r="D24" s="4" t="s">
        <v>340</v>
      </c>
      <c r="E24" s="4" t="s">
        <v>487</v>
      </c>
      <c r="F24" s="29">
        <v>0.2</v>
      </c>
    </row>
    <row r="25" spans="1:6" x14ac:dyDescent="0.25">
      <c r="A25" t="s">
        <v>480</v>
      </c>
      <c r="B25" t="s">
        <v>10</v>
      </c>
      <c r="C25" s="4" t="s">
        <v>487</v>
      </c>
      <c r="D25" s="4" t="s">
        <v>113</v>
      </c>
      <c r="E25" s="4" t="s">
        <v>487</v>
      </c>
      <c r="F25" s="29"/>
    </row>
    <row r="26" spans="1:6" x14ac:dyDescent="0.25">
      <c r="A26" t="s">
        <v>480</v>
      </c>
      <c r="B26" t="s">
        <v>10</v>
      </c>
      <c r="C26" s="4" t="s">
        <v>487</v>
      </c>
      <c r="D26" s="4" t="s">
        <v>162</v>
      </c>
      <c r="E26" s="4" t="s">
        <v>9</v>
      </c>
      <c r="F26" s="29"/>
    </row>
    <row r="27" spans="1:6" x14ac:dyDescent="0.25">
      <c r="A27" t="s">
        <v>480</v>
      </c>
      <c r="B27" t="s">
        <v>10</v>
      </c>
      <c r="C27" s="4" t="s">
        <v>487</v>
      </c>
      <c r="D27" s="4" t="s">
        <v>163</v>
      </c>
      <c r="E27" s="4" t="s">
        <v>487</v>
      </c>
      <c r="F27" s="29"/>
    </row>
    <row r="28" spans="1:6" x14ac:dyDescent="0.25">
      <c r="A28" t="s">
        <v>480</v>
      </c>
      <c r="B28" t="s">
        <v>10</v>
      </c>
      <c r="C28" s="4" t="s">
        <v>487</v>
      </c>
      <c r="D28" s="4" t="s">
        <v>341</v>
      </c>
      <c r="E28" s="4" t="s">
        <v>487</v>
      </c>
      <c r="F28" s="29"/>
    </row>
    <row r="29" spans="1:6" x14ac:dyDescent="0.25">
      <c r="A29" t="s">
        <v>480</v>
      </c>
      <c r="B29" t="s">
        <v>10</v>
      </c>
      <c r="C29" s="4">
        <v>6</v>
      </c>
      <c r="D29" s="4" t="s">
        <v>28</v>
      </c>
      <c r="E29" s="4" t="s">
        <v>487</v>
      </c>
      <c r="F29" s="29">
        <v>0.2</v>
      </c>
    </row>
    <row r="30" spans="1:6" x14ac:dyDescent="0.25">
      <c r="A30" t="s">
        <v>480</v>
      </c>
      <c r="B30" t="s">
        <v>10</v>
      </c>
      <c r="C30" s="4" t="s">
        <v>487</v>
      </c>
      <c r="D30" s="4" t="s">
        <v>20</v>
      </c>
      <c r="E30" s="4" t="s">
        <v>487</v>
      </c>
      <c r="F30" s="29"/>
    </row>
    <row r="31" spans="1:6" x14ac:dyDescent="0.25">
      <c r="A31" t="s">
        <v>480</v>
      </c>
      <c r="B31" t="s">
        <v>10</v>
      </c>
      <c r="C31" s="4" t="s">
        <v>487</v>
      </c>
      <c r="D31" s="4" t="s">
        <v>29</v>
      </c>
      <c r="E31" s="4" t="s">
        <v>9</v>
      </c>
      <c r="F31" s="29"/>
    </row>
    <row r="32" spans="1:6" x14ac:dyDescent="0.25">
      <c r="A32" t="s">
        <v>480</v>
      </c>
      <c r="B32" t="s">
        <v>10</v>
      </c>
      <c r="C32" s="4" t="s">
        <v>487</v>
      </c>
      <c r="D32" s="4" t="s">
        <v>30</v>
      </c>
      <c r="E32" s="4" t="s">
        <v>487</v>
      </c>
      <c r="F32" s="29"/>
    </row>
    <row r="33" spans="1:6" x14ac:dyDescent="0.25">
      <c r="A33" t="s">
        <v>480</v>
      </c>
      <c r="B33" t="s">
        <v>10</v>
      </c>
      <c r="C33" s="4" t="s">
        <v>487</v>
      </c>
      <c r="D33" s="4" t="s">
        <v>11</v>
      </c>
      <c r="E33" s="4" t="s">
        <v>487</v>
      </c>
      <c r="F33" s="29"/>
    </row>
    <row r="34" spans="1:6" x14ac:dyDescent="0.25">
      <c r="A34" t="s">
        <v>480</v>
      </c>
      <c r="B34" t="s">
        <v>10</v>
      </c>
      <c r="C34" s="4">
        <v>7</v>
      </c>
      <c r="D34" s="4" t="s">
        <v>411</v>
      </c>
      <c r="E34" s="4" t="s">
        <v>487</v>
      </c>
      <c r="F34" s="29">
        <v>0.2</v>
      </c>
    </row>
    <row r="35" spans="1:6" x14ac:dyDescent="0.25">
      <c r="A35" t="s">
        <v>480</v>
      </c>
      <c r="B35" t="s">
        <v>10</v>
      </c>
      <c r="C35" s="4" t="s">
        <v>487</v>
      </c>
      <c r="D35" s="4" t="s">
        <v>409</v>
      </c>
      <c r="E35" s="4" t="s">
        <v>487</v>
      </c>
      <c r="F35" s="29"/>
    </row>
    <row r="36" spans="1:6" x14ac:dyDescent="0.25">
      <c r="A36" t="s">
        <v>480</v>
      </c>
      <c r="B36" t="s">
        <v>10</v>
      </c>
      <c r="C36" s="4" t="s">
        <v>487</v>
      </c>
      <c r="D36" s="4" t="s">
        <v>408</v>
      </c>
      <c r="E36" s="4" t="s">
        <v>9</v>
      </c>
      <c r="F36" s="29"/>
    </row>
    <row r="37" spans="1:6" x14ac:dyDescent="0.25">
      <c r="A37" t="s">
        <v>480</v>
      </c>
      <c r="B37" t="s">
        <v>10</v>
      </c>
      <c r="C37" s="4" t="s">
        <v>487</v>
      </c>
      <c r="D37" s="4" t="s">
        <v>410</v>
      </c>
      <c r="E37" s="4" t="s">
        <v>487</v>
      </c>
      <c r="F37" s="29"/>
    </row>
    <row r="38" spans="1:6" x14ac:dyDescent="0.25">
      <c r="A38" t="s">
        <v>480</v>
      </c>
      <c r="B38" t="s">
        <v>10</v>
      </c>
      <c r="C38" s="4" t="s">
        <v>487</v>
      </c>
      <c r="D38" s="4" t="s">
        <v>412</v>
      </c>
      <c r="E38" s="4" t="s">
        <v>487</v>
      </c>
      <c r="F38" s="29"/>
    </row>
    <row r="39" spans="1:6" x14ac:dyDescent="0.25">
      <c r="A39" t="s">
        <v>480</v>
      </c>
      <c r="B39" t="s">
        <v>10</v>
      </c>
      <c r="C39" s="4">
        <v>8</v>
      </c>
      <c r="D39" s="4" t="s">
        <v>336</v>
      </c>
      <c r="E39" s="4" t="s">
        <v>487</v>
      </c>
      <c r="F39" s="29">
        <v>0.2</v>
      </c>
    </row>
    <row r="40" spans="1:6" x14ac:dyDescent="0.25">
      <c r="A40" t="s">
        <v>480</v>
      </c>
      <c r="B40" t="s">
        <v>10</v>
      </c>
      <c r="C40" s="4" t="s">
        <v>487</v>
      </c>
      <c r="D40" s="4" t="s">
        <v>349</v>
      </c>
      <c r="E40" s="4" t="s">
        <v>487</v>
      </c>
      <c r="F40" s="29"/>
    </row>
    <row r="41" spans="1:6" x14ac:dyDescent="0.25">
      <c r="A41" t="s">
        <v>480</v>
      </c>
      <c r="B41" t="s">
        <v>10</v>
      </c>
      <c r="C41" s="4" t="s">
        <v>487</v>
      </c>
      <c r="D41" s="4" t="s">
        <v>337</v>
      </c>
      <c r="E41" s="4" t="s">
        <v>9</v>
      </c>
      <c r="F41" s="29"/>
    </row>
    <row r="42" spans="1:6" x14ac:dyDescent="0.25">
      <c r="A42" t="s">
        <v>480</v>
      </c>
      <c r="B42" t="s">
        <v>10</v>
      </c>
      <c r="C42" s="4" t="s">
        <v>487</v>
      </c>
      <c r="D42" s="4" t="s">
        <v>338</v>
      </c>
      <c r="E42" s="4" t="s">
        <v>487</v>
      </c>
      <c r="F42" s="29"/>
    </row>
    <row r="43" spans="1:6" x14ac:dyDescent="0.25">
      <c r="A43" t="s">
        <v>480</v>
      </c>
      <c r="B43" t="s">
        <v>10</v>
      </c>
      <c r="C43" s="4" t="s">
        <v>487</v>
      </c>
      <c r="D43" s="4" t="s">
        <v>339</v>
      </c>
      <c r="E43" s="4" t="s">
        <v>487</v>
      </c>
      <c r="F43" s="29"/>
    </row>
    <row r="44" spans="1:6" x14ac:dyDescent="0.25">
      <c r="A44" t="s">
        <v>480</v>
      </c>
      <c r="B44" t="s">
        <v>10</v>
      </c>
      <c r="C44" s="4">
        <v>9</v>
      </c>
      <c r="D44" s="4" t="s">
        <v>23</v>
      </c>
      <c r="E44" s="4" t="s">
        <v>487</v>
      </c>
      <c r="F44" s="29">
        <v>0.2</v>
      </c>
    </row>
    <row r="45" spans="1:6" x14ac:dyDescent="0.25">
      <c r="A45" t="s">
        <v>480</v>
      </c>
      <c r="B45" t="s">
        <v>10</v>
      </c>
      <c r="C45" s="4" t="s">
        <v>487</v>
      </c>
      <c r="D45" s="4" t="s">
        <v>24</v>
      </c>
      <c r="E45" s="4" t="s">
        <v>487</v>
      </c>
      <c r="F45" s="29"/>
    </row>
    <row r="46" spans="1:6" x14ac:dyDescent="0.25">
      <c r="A46" t="s">
        <v>480</v>
      </c>
      <c r="B46" t="s">
        <v>10</v>
      </c>
      <c r="C46" s="4" t="s">
        <v>487</v>
      </c>
      <c r="D46" s="4" t="s">
        <v>25</v>
      </c>
      <c r="E46" s="4" t="s">
        <v>9</v>
      </c>
      <c r="F46" s="29"/>
    </row>
    <row r="47" spans="1:6" x14ac:dyDescent="0.25">
      <c r="A47" t="s">
        <v>480</v>
      </c>
      <c r="B47" t="s">
        <v>10</v>
      </c>
      <c r="C47" s="4" t="s">
        <v>487</v>
      </c>
      <c r="D47" s="4" t="s">
        <v>26</v>
      </c>
      <c r="E47" s="4" t="s">
        <v>487</v>
      </c>
      <c r="F47" s="29"/>
    </row>
    <row r="48" spans="1:6" x14ac:dyDescent="0.25">
      <c r="A48" t="s">
        <v>480</v>
      </c>
      <c r="B48" t="s">
        <v>10</v>
      </c>
      <c r="C48" s="4" t="s">
        <v>487</v>
      </c>
      <c r="D48" s="4" t="s">
        <v>27</v>
      </c>
      <c r="E48" s="4" t="s">
        <v>487</v>
      </c>
      <c r="F48" s="29"/>
    </row>
    <row r="49" spans="1:6" x14ac:dyDescent="0.25">
      <c r="A49" t="s">
        <v>480</v>
      </c>
      <c r="B49" t="s">
        <v>10</v>
      </c>
      <c r="C49" s="4">
        <v>10</v>
      </c>
      <c r="D49" s="4" t="s">
        <v>31</v>
      </c>
      <c r="E49" s="4" t="s">
        <v>487</v>
      </c>
      <c r="F49" s="29">
        <v>0.2</v>
      </c>
    </row>
    <row r="50" spans="1:6" x14ac:dyDescent="0.25">
      <c r="A50" t="s">
        <v>480</v>
      </c>
      <c r="B50" t="s">
        <v>10</v>
      </c>
      <c r="C50" s="4" t="s">
        <v>487</v>
      </c>
      <c r="D50" s="4" t="s">
        <v>32</v>
      </c>
      <c r="E50" s="4" t="s">
        <v>36</v>
      </c>
      <c r="F50" s="29"/>
    </row>
    <row r="51" spans="1:6" x14ac:dyDescent="0.25">
      <c r="A51" t="s">
        <v>480</v>
      </c>
      <c r="B51" t="s">
        <v>10</v>
      </c>
      <c r="C51" s="4" t="s">
        <v>487</v>
      </c>
      <c r="D51" s="4" t="s">
        <v>33</v>
      </c>
      <c r="E51" s="4" t="s">
        <v>487</v>
      </c>
      <c r="F51" s="29"/>
    </row>
    <row r="52" spans="1:6" x14ac:dyDescent="0.25">
      <c r="A52" t="s">
        <v>480</v>
      </c>
      <c r="B52" t="s">
        <v>10</v>
      </c>
      <c r="C52" s="4" t="s">
        <v>487</v>
      </c>
      <c r="D52" s="4" t="s">
        <v>34</v>
      </c>
      <c r="E52" s="4" t="s">
        <v>487</v>
      </c>
      <c r="F52" s="29"/>
    </row>
    <row r="53" spans="1:6" x14ac:dyDescent="0.25">
      <c r="A53" t="s">
        <v>480</v>
      </c>
      <c r="B53" t="s">
        <v>10</v>
      </c>
      <c r="C53" s="4" t="s">
        <v>487</v>
      </c>
      <c r="D53" s="4" t="s">
        <v>35</v>
      </c>
      <c r="E53" s="4" t="s">
        <v>487</v>
      </c>
      <c r="F53" s="29"/>
    </row>
    <row r="54" spans="1:6" x14ac:dyDescent="0.25">
      <c r="A54" t="s">
        <v>480</v>
      </c>
      <c r="B54" t="s">
        <v>10</v>
      </c>
      <c r="C54" s="4">
        <v>11</v>
      </c>
      <c r="D54" s="4" t="s">
        <v>4</v>
      </c>
      <c r="E54" s="4" t="s">
        <v>487</v>
      </c>
      <c r="F54" s="29">
        <v>0.2</v>
      </c>
    </row>
    <row r="55" spans="1:6" x14ac:dyDescent="0.25">
      <c r="A55" t="s">
        <v>480</v>
      </c>
      <c r="B55" t="s">
        <v>10</v>
      </c>
      <c r="C55" s="4" t="s">
        <v>487</v>
      </c>
      <c r="D55" s="4" t="s">
        <v>5</v>
      </c>
      <c r="E55" s="4" t="s">
        <v>487</v>
      </c>
      <c r="F55" s="29"/>
    </row>
    <row r="56" spans="1:6" x14ac:dyDescent="0.25">
      <c r="A56" t="s">
        <v>480</v>
      </c>
      <c r="B56" t="s">
        <v>10</v>
      </c>
      <c r="C56" s="4" t="s">
        <v>487</v>
      </c>
      <c r="D56" s="4" t="s">
        <v>6</v>
      </c>
      <c r="E56" s="4" t="s">
        <v>9</v>
      </c>
      <c r="F56" s="29"/>
    </row>
    <row r="57" spans="1:6" x14ac:dyDescent="0.25">
      <c r="A57" t="s">
        <v>480</v>
      </c>
      <c r="B57" t="s">
        <v>10</v>
      </c>
      <c r="C57" s="4" t="s">
        <v>487</v>
      </c>
      <c r="D57" s="4" t="s">
        <v>7</v>
      </c>
      <c r="E57" s="4" t="s">
        <v>487</v>
      </c>
      <c r="F57" s="29"/>
    </row>
    <row r="58" spans="1:6" x14ac:dyDescent="0.25">
      <c r="A58" t="s">
        <v>480</v>
      </c>
      <c r="B58" t="s">
        <v>10</v>
      </c>
      <c r="C58" s="4" t="s">
        <v>487</v>
      </c>
      <c r="D58" s="4" t="s">
        <v>8</v>
      </c>
      <c r="E58" s="4" t="s">
        <v>487</v>
      </c>
      <c r="F58" s="29"/>
    </row>
    <row r="59" spans="1:6" x14ac:dyDescent="0.25">
      <c r="A59" t="s">
        <v>480</v>
      </c>
      <c r="B59" t="s">
        <v>10</v>
      </c>
      <c r="C59" s="4">
        <v>12</v>
      </c>
      <c r="D59" s="4" t="s">
        <v>43</v>
      </c>
      <c r="E59" s="4" t="s">
        <v>487</v>
      </c>
      <c r="F59" s="29">
        <v>0.2</v>
      </c>
    </row>
    <row r="60" spans="1:6" x14ac:dyDescent="0.25">
      <c r="A60" t="s">
        <v>480</v>
      </c>
      <c r="B60" t="s">
        <v>10</v>
      </c>
      <c r="C60" s="4" t="s">
        <v>487</v>
      </c>
      <c r="D60" s="4" t="s">
        <v>44</v>
      </c>
      <c r="E60" s="4" t="s">
        <v>487</v>
      </c>
      <c r="F60" s="29"/>
    </row>
    <row r="61" spans="1:6" x14ac:dyDescent="0.25">
      <c r="A61" t="s">
        <v>480</v>
      </c>
      <c r="B61" t="s">
        <v>10</v>
      </c>
      <c r="C61" s="4" t="s">
        <v>487</v>
      </c>
      <c r="D61" s="4" t="s">
        <v>45</v>
      </c>
      <c r="E61" s="4" t="s">
        <v>9</v>
      </c>
      <c r="F61" s="29"/>
    </row>
    <row r="62" spans="1:6" x14ac:dyDescent="0.25">
      <c r="A62" t="s">
        <v>480</v>
      </c>
      <c r="B62" t="s">
        <v>10</v>
      </c>
      <c r="C62" s="4" t="s">
        <v>487</v>
      </c>
      <c r="D62" s="4" t="s">
        <v>19</v>
      </c>
      <c r="E62" s="4" t="s">
        <v>487</v>
      </c>
      <c r="F62" s="29"/>
    </row>
    <row r="63" spans="1:6" x14ac:dyDescent="0.25">
      <c r="A63" t="s">
        <v>480</v>
      </c>
      <c r="B63" t="s">
        <v>10</v>
      </c>
      <c r="C63" s="4" t="s">
        <v>487</v>
      </c>
      <c r="D63" s="4" t="s">
        <v>21</v>
      </c>
      <c r="E63" s="4" t="s">
        <v>487</v>
      </c>
      <c r="F63" s="29"/>
    </row>
    <row r="64" spans="1:6" x14ac:dyDescent="0.25">
      <c r="A64" t="s">
        <v>480</v>
      </c>
      <c r="B64" t="s">
        <v>10</v>
      </c>
      <c r="C64" s="4">
        <v>13</v>
      </c>
      <c r="D64" s="4" t="s">
        <v>403</v>
      </c>
      <c r="E64" s="4" t="s">
        <v>487</v>
      </c>
      <c r="F64" s="29">
        <v>0.2</v>
      </c>
    </row>
    <row r="65" spans="1:6" x14ac:dyDescent="0.25">
      <c r="A65" t="s">
        <v>480</v>
      </c>
      <c r="B65" t="s">
        <v>10</v>
      </c>
      <c r="C65" s="4" t="s">
        <v>487</v>
      </c>
      <c r="D65" s="4" t="s">
        <v>406</v>
      </c>
      <c r="E65" s="4" t="s">
        <v>487</v>
      </c>
      <c r="F65" s="29"/>
    </row>
    <row r="66" spans="1:6" x14ac:dyDescent="0.25">
      <c r="A66" t="s">
        <v>480</v>
      </c>
      <c r="B66" t="s">
        <v>10</v>
      </c>
      <c r="C66" s="4" t="s">
        <v>487</v>
      </c>
      <c r="D66" s="4" t="s">
        <v>405</v>
      </c>
      <c r="E66" s="4" t="s">
        <v>487</v>
      </c>
      <c r="F66" s="29"/>
    </row>
    <row r="67" spans="1:6" x14ac:dyDescent="0.25">
      <c r="A67" t="s">
        <v>480</v>
      </c>
      <c r="B67" t="s">
        <v>10</v>
      </c>
      <c r="C67" s="4" t="s">
        <v>487</v>
      </c>
      <c r="D67" s="4" t="s">
        <v>404</v>
      </c>
      <c r="E67" s="4" t="s">
        <v>17</v>
      </c>
      <c r="F67" s="29"/>
    </row>
    <row r="68" spans="1:6" x14ac:dyDescent="0.25">
      <c r="A68" t="s">
        <v>480</v>
      </c>
      <c r="B68" t="s">
        <v>10</v>
      </c>
      <c r="C68" s="4" t="s">
        <v>487</v>
      </c>
      <c r="D68" s="4" t="s">
        <v>407</v>
      </c>
      <c r="E68" s="4" t="s">
        <v>487</v>
      </c>
      <c r="F68" s="29"/>
    </row>
    <row r="69" spans="1:6" x14ac:dyDescent="0.25">
      <c r="C69" s="4"/>
      <c r="D69" s="28" t="s">
        <v>489</v>
      </c>
      <c r="E69" s="4"/>
      <c r="F69" s="29"/>
    </row>
    <row r="70" spans="1:6" x14ac:dyDescent="0.25">
      <c r="A70" t="s">
        <v>480</v>
      </c>
      <c r="B70" t="s">
        <v>51</v>
      </c>
      <c r="C70" s="4">
        <v>1</v>
      </c>
      <c r="D70" s="4" t="s">
        <v>325</v>
      </c>
      <c r="E70" s="4" t="s">
        <v>487</v>
      </c>
      <c r="F70" s="29">
        <v>0.2</v>
      </c>
    </row>
    <row r="71" spans="1:6" x14ac:dyDescent="0.25">
      <c r="A71" t="s">
        <v>480</v>
      </c>
      <c r="B71" t="s">
        <v>51</v>
      </c>
      <c r="C71" s="4" t="s">
        <v>487</v>
      </c>
      <c r="D71" s="4" t="s">
        <v>38</v>
      </c>
      <c r="E71" s="4" t="s">
        <v>487</v>
      </c>
      <c r="F71" s="29"/>
    </row>
    <row r="72" spans="1:6" x14ac:dyDescent="0.25">
      <c r="A72" t="s">
        <v>480</v>
      </c>
      <c r="B72" t="s">
        <v>51</v>
      </c>
      <c r="C72" s="4" t="s">
        <v>487</v>
      </c>
      <c r="D72" s="4" t="s">
        <v>327</v>
      </c>
      <c r="E72" s="4" t="s">
        <v>9</v>
      </c>
      <c r="F72" s="29"/>
    </row>
    <row r="73" spans="1:6" x14ac:dyDescent="0.25">
      <c r="A73" t="s">
        <v>480</v>
      </c>
      <c r="B73" t="s">
        <v>51</v>
      </c>
      <c r="C73" s="4" t="s">
        <v>487</v>
      </c>
      <c r="D73" s="4" t="s">
        <v>53</v>
      </c>
      <c r="E73" s="4" t="s">
        <v>487</v>
      </c>
      <c r="F73" s="29"/>
    </row>
    <row r="74" spans="1:6" x14ac:dyDescent="0.25">
      <c r="A74" t="s">
        <v>480</v>
      </c>
      <c r="B74" t="s">
        <v>51</v>
      </c>
      <c r="C74" s="4" t="s">
        <v>487</v>
      </c>
      <c r="D74" s="4" t="s">
        <v>37</v>
      </c>
      <c r="E74" s="4" t="s">
        <v>487</v>
      </c>
      <c r="F74" s="29"/>
    </row>
    <row r="75" spans="1:6" x14ac:dyDescent="0.25">
      <c r="A75" t="s">
        <v>480</v>
      </c>
      <c r="B75" t="s">
        <v>51</v>
      </c>
      <c r="C75" s="4">
        <v>2</v>
      </c>
      <c r="D75" s="4" t="s">
        <v>52</v>
      </c>
      <c r="E75" s="4" t="s">
        <v>487</v>
      </c>
      <c r="F75" s="29">
        <v>0.2</v>
      </c>
    </row>
    <row r="76" spans="1:6" x14ac:dyDescent="0.25">
      <c r="A76" t="s">
        <v>480</v>
      </c>
      <c r="B76" t="s">
        <v>51</v>
      </c>
      <c r="C76" s="4" t="s">
        <v>487</v>
      </c>
      <c r="D76" s="4" t="s">
        <v>53</v>
      </c>
      <c r="E76" s="4" t="s">
        <v>487</v>
      </c>
      <c r="F76" s="29"/>
    </row>
    <row r="77" spans="1:6" x14ac:dyDescent="0.25">
      <c r="A77" t="s">
        <v>480</v>
      </c>
      <c r="B77" t="s">
        <v>51</v>
      </c>
      <c r="C77" s="4" t="s">
        <v>487</v>
      </c>
      <c r="D77" s="4" t="s">
        <v>54</v>
      </c>
      <c r="E77" s="4" t="s">
        <v>9</v>
      </c>
      <c r="F77" s="29"/>
    </row>
    <row r="78" spans="1:6" x14ac:dyDescent="0.25">
      <c r="A78" t="s">
        <v>480</v>
      </c>
      <c r="B78" t="s">
        <v>51</v>
      </c>
      <c r="C78" s="4" t="s">
        <v>487</v>
      </c>
      <c r="D78" s="4" t="s">
        <v>55</v>
      </c>
      <c r="E78" s="4" t="s">
        <v>487</v>
      </c>
      <c r="F78" s="29"/>
    </row>
    <row r="79" spans="1:6" x14ac:dyDescent="0.25">
      <c r="A79" t="s">
        <v>480</v>
      </c>
      <c r="B79" t="s">
        <v>51</v>
      </c>
      <c r="C79" s="4" t="s">
        <v>487</v>
      </c>
      <c r="D79" s="4" t="s">
        <v>56</v>
      </c>
      <c r="E79" s="4" t="s">
        <v>487</v>
      </c>
      <c r="F79" s="29"/>
    </row>
    <row r="80" spans="1:6" x14ac:dyDescent="0.25">
      <c r="A80" t="s">
        <v>480</v>
      </c>
      <c r="B80" t="s">
        <v>51</v>
      </c>
      <c r="C80" s="4">
        <v>3</v>
      </c>
      <c r="D80" s="4" t="s">
        <v>387</v>
      </c>
      <c r="E80" s="4" t="s">
        <v>487</v>
      </c>
      <c r="F80" s="29">
        <v>0.2</v>
      </c>
    </row>
    <row r="81" spans="1:6" x14ac:dyDescent="0.25">
      <c r="A81" t="s">
        <v>480</v>
      </c>
      <c r="B81" t="s">
        <v>51</v>
      </c>
      <c r="C81" s="4" t="s">
        <v>487</v>
      </c>
      <c r="D81" s="4" t="s">
        <v>389</v>
      </c>
      <c r="E81" s="4" t="s">
        <v>36</v>
      </c>
      <c r="F81" s="29"/>
    </row>
    <row r="82" spans="1:6" x14ac:dyDescent="0.25">
      <c r="A82" t="s">
        <v>480</v>
      </c>
      <c r="B82" t="s">
        <v>51</v>
      </c>
      <c r="C82" s="4" t="s">
        <v>487</v>
      </c>
      <c r="D82" s="4" t="s">
        <v>392</v>
      </c>
      <c r="E82" s="4" t="s">
        <v>487</v>
      </c>
      <c r="F82" s="29"/>
    </row>
    <row r="83" spans="1:6" x14ac:dyDescent="0.25">
      <c r="A83" t="s">
        <v>480</v>
      </c>
      <c r="B83" t="s">
        <v>51</v>
      </c>
      <c r="C83" s="4" t="s">
        <v>487</v>
      </c>
      <c r="D83" s="4" t="s">
        <v>390</v>
      </c>
      <c r="E83" s="4" t="s">
        <v>487</v>
      </c>
      <c r="F83" s="29"/>
    </row>
    <row r="84" spans="1:6" x14ac:dyDescent="0.25">
      <c r="A84" t="s">
        <v>480</v>
      </c>
      <c r="B84" t="s">
        <v>51</v>
      </c>
      <c r="C84" s="4" t="s">
        <v>487</v>
      </c>
      <c r="D84" s="4" t="s">
        <v>391</v>
      </c>
      <c r="E84" s="4" t="s">
        <v>487</v>
      </c>
      <c r="F84" s="29"/>
    </row>
    <row r="85" spans="1:6" x14ac:dyDescent="0.25">
      <c r="A85" t="s">
        <v>480</v>
      </c>
      <c r="B85" t="s">
        <v>51</v>
      </c>
      <c r="C85" s="4">
        <v>4</v>
      </c>
      <c r="D85" s="4" t="s">
        <v>394</v>
      </c>
      <c r="E85" s="4" t="s">
        <v>487</v>
      </c>
      <c r="F85" s="29">
        <v>0.2</v>
      </c>
    </row>
    <row r="86" spans="1:6" x14ac:dyDescent="0.25">
      <c r="A86" t="s">
        <v>480</v>
      </c>
      <c r="B86" t="s">
        <v>51</v>
      </c>
      <c r="C86" s="4" t="s">
        <v>487</v>
      </c>
      <c r="D86" s="4" t="s">
        <v>329</v>
      </c>
      <c r="E86" s="4" t="s">
        <v>487</v>
      </c>
      <c r="F86" s="29"/>
    </row>
    <row r="87" spans="1:6" x14ac:dyDescent="0.25">
      <c r="A87" t="s">
        <v>480</v>
      </c>
      <c r="B87" t="s">
        <v>51</v>
      </c>
      <c r="C87" s="4" t="s">
        <v>487</v>
      </c>
      <c r="D87" s="4" t="s">
        <v>330</v>
      </c>
      <c r="E87" s="4" t="s">
        <v>9</v>
      </c>
      <c r="F87" s="29"/>
    </row>
    <row r="88" spans="1:6" x14ac:dyDescent="0.25">
      <c r="A88" t="s">
        <v>480</v>
      </c>
      <c r="B88" t="s">
        <v>51</v>
      </c>
      <c r="C88" s="4" t="s">
        <v>487</v>
      </c>
      <c r="D88" s="4" t="s">
        <v>111</v>
      </c>
      <c r="E88" s="4" t="s">
        <v>487</v>
      </c>
      <c r="F88" s="29"/>
    </row>
    <row r="89" spans="1:6" x14ac:dyDescent="0.25">
      <c r="A89" t="s">
        <v>480</v>
      </c>
      <c r="B89" t="s">
        <v>51</v>
      </c>
      <c r="C89" s="4" t="s">
        <v>487</v>
      </c>
      <c r="D89" s="4" t="s">
        <v>151</v>
      </c>
      <c r="E89" s="4" t="s">
        <v>487</v>
      </c>
      <c r="F89" s="29"/>
    </row>
    <row r="90" spans="1:6" x14ac:dyDescent="0.25">
      <c r="A90" t="s">
        <v>480</v>
      </c>
      <c r="B90" t="s">
        <v>51</v>
      </c>
      <c r="C90" s="4">
        <v>5</v>
      </c>
      <c r="D90" s="4" t="s">
        <v>180</v>
      </c>
      <c r="E90" s="4" t="s">
        <v>487</v>
      </c>
      <c r="F90" s="29">
        <v>0.2</v>
      </c>
    </row>
    <row r="91" spans="1:6" x14ac:dyDescent="0.25">
      <c r="A91" t="s">
        <v>480</v>
      </c>
      <c r="B91" t="s">
        <v>51</v>
      </c>
      <c r="C91" s="4" t="s">
        <v>487</v>
      </c>
      <c r="D91" s="4" t="s">
        <v>181</v>
      </c>
      <c r="E91" s="4" t="s">
        <v>36</v>
      </c>
      <c r="F91" s="29"/>
    </row>
    <row r="92" spans="1:6" x14ac:dyDescent="0.25">
      <c r="A92" t="s">
        <v>480</v>
      </c>
      <c r="B92" t="s">
        <v>51</v>
      </c>
      <c r="C92" s="4" t="s">
        <v>487</v>
      </c>
      <c r="D92" s="4" t="s">
        <v>182</v>
      </c>
      <c r="E92" s="4" t="s">
        <v>487</v>
      </c>
      <c r="F92" s="29"/>
    </row>
    <row r="93" spans="1:6" x14ac:dyDescent="0.25">
      <c r="A93" t="s">
        <v>480</v>
      </c>
      <c r="B93" t="s">
        <v>51</v>
      </c>
      <c r="C93" s="4" t="s">
        <v>487</v>
      </c>
      <c r="D93" s="4" t="s">
        <v>53</v>
      </c>
      <c r="E93" s="4" t="s">
        <v>487</v>
      </c>
      <c r="F93" s="29"/>
    </row>
    <row r="94" spans="1:6" x14ac:dyDescent="0.25">
      <c r="A94" t="s">
        <v>480</v>
      </c>
      <c r="B94" t="s">
        <v>51</v>
      </c>
      <c r="C94" s="4" t="s">
        <v>487</v>
      </c>
      <c r="D94" s="4" t="s">
        <v>14</v>
      </c>
      <c r="E94" s="4" t="s">
        <v>487</v>
      </c>
      <c r="F94" s="29"/>
    </row>
    <row r="95" spans="1:6" x14ac:dyDescent="0.25">
      <c r="A95" t="s">
        <v>480</v>
      </c>
      <c r="B95" t="s">
        <v>51</v>
      </c>
      <c r="C95" s="4">
        <v>6</v>
      </c>
      <c r="D95" s="4" t="s">
        <v>356</v>
      </c>
      <c r="E95" s="4" t="s">
        <v>487</v>
      </c>
      <c r="F95" s="29">
        <v>0.2</v>
      </c>
    </row>
    <row r="96" spans="1:6" x14ac:dyDescent="0.25">
      <c r="A96" t="s">
        <v>480</v>
      </c>
      <c r="B96" t="s">
        <v>51</v>
      </c>
      <c r="C96" s="4" t="s">
        <v>487</v>
      </c>
      <c r="D96" s="4" t="s">
        <v>157</v>
      </c>
      <c r="E96" s="4" t="s">
        <v>36</v>
      </c>
      <c r="F96" s="29"/>
    </row>
    <row r="97" spans="1:6" x14ac:dyDescent="0.25">
      <c r="A97" t="s">
        <v>480</v>
      </c>
      <c r="B97" t="s">
        <v>51</v>
      </c>
      <c r="C97" s="4" t="s">
        <v>487</v>
      </c>
      <c r="D97" s="4" t="s">
        <v>158</v>
      </c>
      <c r="E97" s="4" t="s">
        <v>487</v>
      </c>
      <c r="F97" s="29"/>
    </row>
    <row r="98" spans="1:6" x14ac:dyDescent="0.25">
      <c r="A98" t="s">
        <v>480</v>
      </c>
      <c r="B98" t="s">
        <v>51</v>
      </c>
      <c r="C98" s="4" t="s">
        <v>487</v>
      </c>
      <c r="D98" s="4" t="s">
        <v>159</v>
      </c>
      <c r="E98" s="4" t="s">
        <v>487</v>
      </c>
      <c r="F98" s="29"/>
    </row>
    <row r="99" spans="1:6" x14ac:dyDescent="0.25">
      <c r="A99" t="s">
        <v>480</v>
      </c>
      <c r="B99" t="s">
        <v>51</v>
      </c>
      <c r="C99" s="4" t="s">
        <v>487</v>
      </c>
      <c r="D99" s="4" t="s">
        <v>160</v>
      </c>
      <c r="E99" s="4" t="s">
        <v>487</v>
      </c>
      <c r="F99" s="29"/>
    </row>
    <row r="100" spans="1:6" x14ac:dyDescent="0.25">
      <c r="A100" t="s">
        <v>480</v>
      </c>
      <c r="B100" t="s">
        <v>51</v>
      </c>
      <c r="C100" s="4">
        <v>7</v>
      </c>
      <c r="D100" s="4" t="s">
        <v>73</v>
      </c>
      <c r="E100" s="4" t="s">
        <v>487</v>
      </c>
      <c r="F100" s="29">
        <v>0.2</v>
      </c>
    </row>
    <row r="101" spans="1:6" x14ac:dyDescent="0.25">
      <c r="A101" t="s">
        <v>480</v>
      </c>
      <c r="B101" t="s">
        <v>51</v>
      </c>
      <c r="C101" s="4" t="s">
        <v>487</v>
      </c>
      <c r="D101" s="4" t="s">
        <v>74</v>
      </c>
      <c r="E101" s="4" t="s">
        <v>36</v>
      </c>
      <c r="F101" s="29"/>
    </row>
    <row r="102" spans="1:6" x14ac:dyDescent="0.25">
      <c r="A102" t="s">
        <v>480</v>
      </c>
      <c r="B102" t="s">
        <v>51</v>
      </c>
      <c r="C102" s="4" t="s">
        <v>487</v>
      </c>
      <c r="D102" s="4" t="s">
        <v>75</v>
      </c>
      <c r="E102" s="4" t="s">
        <v>487</v>
      </c>
      <c r="F102" s="29"/>
    </row>
    <row r="103" spans="1:6" x14ac:dyDescent="0.25">
      <c r="A103" t="s">
        <v>480</v>
      </c>
      <c r="B103" t="s">
        <v>51</v>
      </c>
      <c r="C103" s="4" t="s">
        <v>487</v>
      </c>
      <c r="D103" s="4" t="s">
        <v>76</v>
      </c>
      <c r="E103" s="4" t="s">
        <v>487</v>
      </c>
      <c r="F103" s="29"/>
    </row>
    <row r="104" spans="1:6" x14ac:dyDescent="0.25">
      <c r="A104" t="s">
        <v>480</v>
      </c>
      <c r="B104" t="s">
        <v>51</v>
      </c>
      <c r="C104" s="4" t="s">
        <v>487</v>
      </c>
      <c r="D104" s="4" t="s">
        <v>77</v>
      </c>
      <c r="E104" s="4" t="s">
        <v>487</v>
      </c>
      <c r="F104" s="29"/>
    </row>
    <row r="105" spans="1:6" x14ac:dyDescent="0.25">
      <c r="A105" t="s">
        <v>480</v>
      </c>
      <c r="B105" t="s">
        <v>51</v>
      </c>
      <c r="C105" s="4">
        <v>8</v>
      </c>
      <c r="D105" s="4" t="s">
        <v>164</v>
      </c>
      <c r="E105" s="4" t="s">
        <v>487</v>
      </c>
      <c r="F105" s="29">
        <v>0.2</v>
      </c>
    </row>
    <row r="106" spans="1:6" x14ac:dyDescent="0.25">
      <c r="A106" t="s">
        <v>480</v>
      </c>
      <c r="B106" t="s">
        <v>51</v>
      </c>
      <c r="C106" s="4" t="s">
        <v>487</v>
      </c>
      <c r="D106" s="4" t="s">
        <v>165</v>
      </c>
      <c r="E106" s="4" t="s">
        <v>36</v>
      </c>
      <c r="F106" s="29"/>
    </row>
    <row r="107" spans="1:6" x14ac:dyDescent="0.25">
      <c r="A107" t="s">
        <v>480</v>
      </c>
      <c r="B107" t="s">
        <v>51</v>
      </c>
      <c r="C107" s="4" t="s">
        <v>487</v>
      </c>
      <c r="D107" s="4" t="s">
        <v>166</v>
      </c>
      <c r="E107" s="4" t="s">
        <v>487</v>
      </c>
      <c r="F107" s="29"/>
    </row>
    <row r="108" spans="1:6" x14ac:dyDescent="0.25">
      <c r="A108" t="s">
        <v>480</v>
      </c>
      <c r="B108" t="s">
        <v>51</v>
      </c>
      <c r="C108" s="4" t="s">
        <v>487</v>
      </c>
      <c r="D108" s="4" t="s">
        <v>167</v>
      </c>
      <c r="E108" s="4" t="s">
        <v>487</v>
      </c>
      <c r="F108" s="29"/>
    </row>
    <row r="109" spans="1:6" x14ac:dyDescent="0.25">
      <c r="A109" t="s">
        <v>480</v>
      </c>
      <c r="B109" t="s">
        <v>51</v>
      </c>
      <c r="C109" s="4" t="s">
        <v>487</v>
      </c>
      <c r="D109" s="4" t="s">
        <v>168</v>
      </c>
      <c r="E109" s="4" t="s">
        <v>487</v>
      </c>
      <c r="F109" s="29"/>
    </row>
    <row r="110" spans="1:6" x14ac:dyDescent="0.25">
      <c r="A110" t="s">
        <v>480</v>
      </c>
      <c r="B110" t="s">
        <v>51</v>
      </c>
      <c r="C110" s="4">
        <v>9</v>
      </c>
      <c r="D110" s="4" t="s">
        <v>186</v>
      </c>
      <c r="E110" s="4" t="s">
        <v>487</v>
      </c>
      <c r="F110" s="29">
        <v>0.2</v>
      </c>
    </row>
    <row r="111" spans="1:6" x14ac:dyDescent="0.25">
      <c r="A111" t="s">
        <v>480</v>
      </c>
      <c r="B111" t="s">
        <v>51</v>
      </c>
      <c r="C111" s="4" t="s">
        <v>487</v>
      </c>
      <c r="D111" s="4" t="s">
        <v>187</v>
      </c>
      <c r="E111" s="4" t="s">
        <v>9</v>
      </c>
      <c r="F111" s="29"/>
    </row>
    <row r="112" spans="1:6" x14ac:dyDescent="0.25">
      <c r="A112" t="s">
        <v>480</v>
      </c>
      <c r="B112" t="s">
        <v>51</v>
      </c>
      <c r="C112" s="4" t="s">
        <v>487</v>
      </c>
      <c r="D112" s="4" t="s">
        <v>188</v>
      </c>
      <c r="E112" s="4" t="s">
        <v>487</v>
      </c>
      <c r="F112" s="29"/>
    </row>
    <row r="113" spans="1:6" x14ac:dyDescent="0.25">
      <c r="A113" t="s">
        <v>480</v>
      </c>
      <c r="B113" t="s">
        <v>51</v>
      </c>
      <c r="C113" s="4" t="s">
        <v>487</v>
      </c>
      <c r="D113" s="4" t="s">
        <v>189</v>
      </c>
      <c r="E113" s="4" t="s">
        <v>487</v>
      </c>
      <c r="F113" s="29"/>
    </row>
    <row r="114" spans="1:6" x14ac:dyDescent="0.25">
      <c r="A114" t="s">
        <v>480</v>
      </c>
      <c r="B114" t="s">
        <v>51</v>
      </c>
      <c r="C114" s="4" t="s">
        <v>487</v>
      </c>
      <c r="D114" s="4" t="s">
        <v>96</v>
      </c>
      <c r="E114" s="4" t="s">
        <v>487</v>
      </c>
      <c r="F114" s="29"/>
    </row>
    <row r="115" spans="1:6" x14ac:dyDescent="0.25">
      <c r="A115" t="s">
        <v>480</v>
      </c>
      <c r="B115" t="s">
        <v>51</v>
      </c>
      <c r="C115" s="4">
        <v>10</v>
      </c>
      <c r="D115" s="4" t="s">
        <v>78</v>
      </c>
      <c r="E115" s="4" t="s">
        <v>487</v>
      </c>
      <c r="F115" s="29">
        <v>0.2</v>
      </c>
    </row>
    <row r="116" spans="1:6" x14ac:dyDescent="0.25">
      <c r="A116" t="s">
        <v>480</v>
      </c>
      <c r="B116" t="s">
        <v>51</v>
      </c>
      <c r="C116" s="4" t="s">
        <v>487</v>
      </c>
      <c r="D116" s="4" t="s">
        <v>79</v>
      </c>
      <c r="E116" s="4" t="s">
        <v>487</v>
      </c>
      <c r="F116" s="29"/>
    </row>
    <row r="117" spans="1:6" x14ac:dyDescent="0.25">
      <c r="A117" t="s">
        <v>480</v>
      </c>
      <c r="B117" t="s">
        <v>51</v>
      </c>
      <c r="C117" s="4" t="s">
        <v>487</v>
      </c>
      <c r="D117" s="4" t="s">
        <v>80</v>
      </c>
      <c r="E117" s="4" t="s">
        <v>9</v>
      </c>
      <c r="F117" s="29"/>
    </row>
    <row r="118" spans="1:6" x14ac:dyDescent="0.25">
      <c r="A118" t="s">
        <v>480</v>
      </c>
      <c r="B118" t="s">
        <v>51</v>
      </c>
      <c r="C118" s="4" t="s">
        <v>487</v>
      </c>
      <c r="D118" s="4" t="s">
        <v>81</v>
      </c>
      <c r="E118" s="4" t="s">
        <v>487</v>
      </c>
      <c r="F118" s="29"/>
    </row>
    <row r="119" spans="1:6" x14ac:dyDescent="0.25">
      <c r="A119" t="s">
        <v>480</v>
      </c>
      <c r="B119" t="s">
        <v>51</v>
      </c>
      <c r="C119" s="4" t="s">
        <v>487</v>
      </c>
      <c r="D119" s="4" t="s">
        <v>82</v>
      </c>
      <c r="E119" s="4" t="s">
        <v>487</v>
      </c>
      <c r="F119" s="29"/>
    </row>
    <row r="120" spans="1:6" x14ac:dyDescent="0.25">
      <c r="A120" t="s">
        <v>480</v>
      </c>
      <c r="B120" t="s">
        <v>51</v>
      </c>
      <c r="C120" s="4">
        <v>11</v>
      </c>
      <c r="D120" s="4" t="s">
        <v>326</v>
      </c>
      <c r="E120" s="4" t="s">
        <v>487</v>
      </c>
      <c r="F120" s="29">
        <v>0.2</v>
      </c>
    </row>
    <row r="121" spans="1:6" x14ac:dyDescent="0.25">
      <c r="A121" t="s">
        <v>480</v>
      </c>
      <c r="B121" t="s">
        <v>51</v>
      </c>
      <c r="C121" s="4" t="s">
        <v>487</v>
      </c>
      <c r="D121" s="4" t="s">
        <v>53</v>
      </c>
      <c r="E121" s="4" t="s">
        <v>487</v>
      </c>
      <c r="F121" s="29"/>
    </row>
    <row r="122" spans="1:6" x14ac:dyDescent="0.25">
      <c r="A122" t="s">
        <v>480</v>
      </c>
      <c r="B122" t="s">
        <v>51</v>
      </c>
      <c r="C122" s="4" t="s">
        <v>487</v>
      </c>
      <c r="D122" s="4" t="s">
        <v>54</v>
      </c>
      <c r="E122" s="4" t="s">
        <v>487</v>
      </c>
      <c r="F122" s="29"/>
    </row>
    <row r="123" spans="1:6" x14ac:dyDescent="0.25">
      <c r="A123" t="s">
        <v>480</v>
      </c>
      <c r="B123" t="s">
        <v>51</v>
      </c>
      <c r="C123" s="4" t="s">
        <v>487</v>
      </c>
      <c r="D123" s="4" t="s">
        <v>37</v>
      </c>
      <c r="E123" s="4" t="s">
        <v>17</v>
      </c>
      <c r="F123" s="29"/>
    </row>
    <row r="124" spans="1:6" x14ac:dyDescent="0.25">
      <c r="A124" t="s">
        <v>480</v>
      </c>
      <c r="B124" t="s">
        <v>51</v>
      </c>
      <c r="C124" s="4" t="s">
        <v>487</v>
      </c>
      <c r="D124" s="4" t="s">
        <v>55</v>
      </c>
      <c r="E124" s="4" t="s">
        <v>487</v>
      </c>
      <c r="F124" s="29"/>
    </row>
    <row r="125" spans="1:6" x14ac:dyDescent="0.25">
      <c r="A125" t="s">
        <v>480</v>
      </c>
      <c r="B125" t="s">
        <v>51</v>
      </c>
      <c r="C125" s="4">
        <v>12</v>
      </c>
      <c r="D125" s="4" t="s">
        <v>68</v>
      </c>
      <c r="E125" s="4" t="s">
        <v>487</v>
      </c>
      <c r="F125" s="29">
        <v>0.2</v>
      </c>
    </row>
    <row r="126" spans="1:6" x14ac:dyDescent="0.25">
      <c r="A126" t="s">
        <v>480</v>
      </c>
      <c r="B126" t="s">
        <v>51</v>
      </c>
      <c r="C126" s="4" t="s">
        <v>487</v>
      </c>
      <c r="D126" s="4" t="s">
        <v>69</v>
      </c>
      <c r="E126" s="4" t="s">
        <v>36</v>
      </c>
      <c r="F126" s="29"/>
    </row>
    <row r="127" spans="1:6" x14ac:dyDescent="0.25">
      <c r="A127" t="s">
        <v>480</v>
      </c>
      <c r="B127" t="s">
        <v>51</v>
      </c>
      <c r="C127" s="4" t="s">
        <v>487</v>
      </c>
      <c r="D127" s="4" t="s">
        <v>70</v>
      </c>
      <c r="E127" s="4" t="s">
        <v>487</v>
      </c>
      <c r="F127" s="29"/>
    </row>
    <row r="128" spans="1:6" x14ac:dyDescent="0.25">
      <c r="A128" t="s">
        <v>480</v>
      </c>
      <c r="B128" t="s">
        <v>51</v>
      </c>
      <c r="C128" s="4" t="s">
        <v>487</v>
      </c>
      <c r="D128" s="4" t="s">
        <v>71</v>
      </c>
      <c r="E128" s="4" t="s">
        <v>487</v>
      </c>
      <c r="F128" s="29"/>
    </row>
    <row r="129" spans="1:6" x14ac:dyDescent="0.25">
      <c r="A129" t="s">
        <v>480</v>
      </c>
      <c r="B129" t="s">
        <v>51</v>
      </c>
      <c r="C129" s="4" t="s">
        <v>487</v>
      </c>
      <c r="D129" s="4" t="s">
        <v>72</v>
      </c>
      <c r="E129" s="4" t="s">
        <v>487</v>
      </c>
      <c r="F129" s="29"/>
    </row>
    <row r="130" spans="1:6" x14ac:dyDescent="0.25">
      <c r="A130" t="s">
        <v>480</v>
      </c>
      <c r="B130" t="s">
        <v>51</v>
      </c>
      <c r="C130" s="4">
        <v>13</v>
      </c>
      <c r="D130" s="4" t="s">
        <v>57</v>
      </c>
      <c r="E130" s="4" t="s">
        <v>487</v>
      </c>
      <c r="F130" s="29">
        <v>0.2</v>
      </c>
    </row>
    <row r="131" spans="1:6" x14ac:dyDescent="0.25">
      <c r="A131" t="s">
        <v>480</v>
      </c>
      <c r="B131" t="s">
        <v>51</v>
      </c>
      <c r="C131" s="4" t="s">
        <v>487</v>
      </c>
      <c r="D131" s="4" t="s">
        <v>58</v>
      </c>
      <c r="E131" s="4" t="s">
        <v>487</v>
      </c>
      <c r="F131" s="29"/>
    </row>
    <row r="132" spans="1:6" x14ac:dyDescent="0.25">
      <c r="A132" t="s">
        <v>480</v>
      </c>
      <c r="B132" t="s">
        <v>51</v>
      </c>
      <c r="C132" s="4" t="s">
        <v>487</v>
      </c>
      <c r="D132" s="4" t="s">
        <v>59</v>
      </c>
      <c r="E132" s="4" t="s">
        <v>9</v>
      </c>
      <c r="F132" s="29"/>
    </row>
    <row r="133" spans="1:6" x14ac:dyDescent="0.25">
      <c r="A133" t="s">
        <v>480</v>
      </c>
      <c r="B133" t="s">
        <v>51</v>
      </c>
      <c r="C133" s="4" t="s">
        <v>487</v>
      </c>
      <c r="D133" s="4" t="s">
        <v>60</v>
      </c>
      <c r="E133" s="4" t="s">
        <v>487</v>
      </c>
      <c r="F133" s="29"/>
    </row>
    <row r="134" spans="1:6" x14ac:dyDescent="0.25">
      <c r="A134" t="s">
        <v>480</v>
      </c>
      <c r="B134" t="s">
        <v>51</v>
      </c>
      <c r="C134" s="4" t="s">
        <v>487</v>
      </c>
      <c r="D134" s="4" t="s">
        <v>61</v>
      </c>
      <c r="E134" s="4" t="s">
        <v>487</v>
      </c>
      <c r="F134" s="29"/>
    </row>
    <row r="135" spans="1:6" x14ac:dyDescent="0.25">
      <c r="A135" t="s">
        <v>480</v>
      </c>
      <c r="B135" t="s">
        <v>51</v>
      </c>
      <c r="C135" s="4">
        <v>14</v>
      </c>
      <c r="D135" s="4" t="s">
        <v>62</v>
      </c>
      <c r="E135" s="4" t="s">
        <v>487</v>
      </c>
      <c r="F135" s="29">
        <v>0.2</v>
      </c>
    </row>
    <row r="136" spans="1:6" x14ac:dyDescent="0.25">
      <c r="A136" t="s">
        <v>480</v>
      </c>
      <c r="B136" t="s">
        <v>51</v>
      </c>
      <c r="C136" s="4" t="s">
        <v>487</v>
      </c>
      <c r="D136" s="4" t="s">
        <v>63</v>
      </c>
      <c r="E136" s="4" t="s">
        <v>487</v>
      </c>
      <c r="F136" s="29"/>
    </row>
    <row r="137" spans="1:6" x14ac:dyDescent="0.25">
      <c r="A137" t="s">
        <v>480</v>
      </c>
      <c r="B137" t="s">
        <v>51</v>
      </c>
      <c r="C137" s="4" t="s">
        <v>487</v>
      </c>
      <c r="D137" s="4" t="s">
        <v>64</v>
      </c>
      <c r="E137" s="4" t="s">
        <v>9</v>
      </c>
      <c r="F137" s="29"/>
    </row>
    <row r="138" spans="1:6" x14ac:dyDescent="0.25">
      <c r="A138" t="s">
        <v>480</v>
      </c>
      <c r="B138" t="s">
        <v>51</v>
      </c>
      <c r="C138" s="4" t="s">
        <v>487</v>
      </c>
      <c r="D138" s="4" t="s">
        <v>65</v>
      </c>
      <c r="E138" s="4" t="s">
        <v>487</v>
      </c>
      <c r="F138" s="29"/>
    </row>
    <row r="139" spans="1:6" x14ac:dyDescent="0.25">
      <c r="A139" t="s">
        <v>480</v>
      </c>
      <c r="B139" t="s">
        <v>51</v>
      </c>
      <c r="C139" s="4" t="s">
        <v>487</v>
      </c>
      <c r="D139" s="4" t="s">
        <v>66</v>
      </c>
      <c r="E139" s="4" t="s">
        <v>487</v>
      </c>
      <c r="F139" s="29"/>
    </row>
    <row r="140" spans="1:6" x14ac:dyDescent="0.25">
      <c r="A140" t="s">
        <v>480</v>
      </c>
      <c r="B140" t="s">
        <v>51</v>
      </c>
      <c r="C140" s="4">
        <v>15</v>
      </c>
      <c r="D140" s="4" t="s">
        <v>393</v>
      </c>
      <c r="E140" s="4" t="s">
        <v>487</v>
      </c>
      <c r="F140" s="29">
        <v>0.2</v>
      </c>
    </row>
    <row r="141" spans="1:6" x14ac:dyDescent="0.25">
      <c r="A141" t="s">
        <v>480</v>
      </c>
      <c r="B141" t="s">
        <v>51</v>
      </c>
      <c r="C141" s="4" t="s">
        <v>487</v>
      </c>
      <c r="D141" s="4" t="s">
        <v>169</v>
      </c>
      <c r="E141" s="4" t="s">
        <v>36</v>
      </c>
      <c r="F141" s="29"/>
    </row>
    <row r="142" spans="1:6" x14ac:dyDescent="0.25">
      <c r="A142" t="s">
        <v>480</v>
      </c>
      <c r="B142" t="s">
        <v>51</v>
      </c>
      <c r="C142" s="4" t="s">
        <v>487</v>
      </c>
      <c r="D142" s="4" t="s">
        <v>170</v>
      </c>
      <c r="E142" s="4" t="s">
        <v>487</v>
      </c>
      <c r="F142" s="29"/>
    </row>
    <row r="143" spans="1:6" x14ac:dyDescent="0.25">
      <c r="A143" t="s">
        <v>480</v>
      </c>
      <c r="B143" t="s">
        <v>51</v>
      </c>
      <c r="C143" s="4" t="s">
        <v>487</v>
      </c>
      <c r="D143" s="4" t="s">
        <v>171</v>
      </c>
      <c r="E143" s="4" t="s">
        <v>487</v>
      </c>
      <c r="F143" s="29"/>
    </row>
    <row r="144" spans="1:6" x14ac:dyDescent="0.25">
      <c r="A144" t="s">
        <v>480</v>
      </c>
      <c r="B144" t="s">
        <v>51</v>
      </c>
      <c r="C144" s="4" t="s">
        <v>487</v>
      </c>
      <c r="D144" s="4" t="s">
        <v>172</v>
      </c>
      <c r="E144" s="4" t="s">
        <v>487</v>
      </c>
      <c r="F144" s="29"/>
    </row>
    <row r="145" spans="1:6" x14ac:dyDescent="0.25">
      <c r="A145" t="s">
        <v>480</v>
      </c>
      <c r="B145" t="s">
        <v>346</v>
      </c>
      <c r="C145" s="4">
        <v>16</v>
      </c>
      <c r="D145" s="4" t="s">
        <v>284</v>
      </c>
      <c r="E145" s="4" t="s">
        <v>487</v>
      </c>
      <c r="F145" s="29">
        <v>0.2</v>
      </c>
    </row>
    <row r="146" spans="1:6" x14ac:dyDescent="0.25">
      <c r="A146" t="s">
        <v>480</v>
      </c>
      <c r="B146" t="s">
        <v>346</v>
      </c>
      <c r="C146" s="4" t="s">
        <v>487</v>
      </c>
      <c r="D146" s="4" t="s">
        <v>286</v>
      </c>
      <c r="E146" s="4" t="s">
        <v>487</v>
      </c>
      <c r="F146" s="29"/>
    </row>
    <row r="147" spans="1:6" x14ac:dyDescent="0.25">
      <c r="A147" t="s">
        <v>480</v>
      </c>
      <c r="B147" t="s">
        <v>346</v>
      </c>
      <c r="C147" s="4" t="s">
        <v>487</v>
      </c>
      <c r="D147" s="4" t="s">
        <v>287</v>
      </c>
      <c r="E147" s="4" t="s">
        <v>487</v>
      </c>
      <c r="F147" s="29"/>
    </row>
    <row r="148" spans="1:6" x14ac:dyDescent="0.25">
      <c r="A148" t="s">
        <v>480</v>
      </c>
      <c r="B148" t="s">
        <v>346</v>
      </c>
      <c r="C148" s="4" t="s">
        <v>487</v>
      </c>
      <c r="D148" s="4" t="s">
        <v>285</v>
      </c>
      <c r="E148" s="4" t="s">
        <v>17</v>
      </c>
      <c r="F148" s="29"/>
    </row>
    <row r="149" spans="1:6" x14ac:dyDescent="0.25">
      <c r="A149" t="s">
        <v>480</v>
      </c>
      <c r="B149" t="s">
        <v>346</v>
      </c>
      <c r="C149" s="4" t="s">
        <v>487</v>
      </c>
      <c r="D149" s="4" t="s">
        <v>288</v>
      </c>
      <c r="E149" s="4" t="s">
        <v>487</v>
      </c>
      <c r="F149" s="29"/>
    </row>
    <row r="150" spans="1:6" x14ac:dyDescent="0.25">
      <c r="A150" t="s">
        <v>480</v>
      </c>
      <c r="B150" t="s">
        <v>51</v>
      </c>
      <c r="C150" s="4">
        <v>17</v>
      </c>
      <c r="D150" s="4" t="s">
        <v>294</v>
      </c>
      <c r="E150" s="4" t="s">
        <v>487</v>
      </c>
      <c r="F150" s="29">
        <v>0.2</v>
      </c>
    </row>
    <row r="151" spans="1:6" x14ac:dyDescent="0.25">
      <c r="A151" t="s">
        <v>480</v>
      </c>
      <c r="B151" t="s">
        <v>51</v>
      </c>
      <c r="C151" s="4" t="s">
        <v>487</v>
      </c>
      <c r="D151" s="4" t="s">
        <v>295</v>
      </c>
      <c r="E151" s="4" t="s">
        <v>487</v>
      </c>
      <c r="F151" s="29"/>
    </row>
    <row r="152" spans="1:6" x14ac:dyDescent="0.25">
      <c r="A152" t="s">
        <v>480</v>
      </c>
      <c r="B152" t="s">
        <v>51</v>
      </c>
      <c r="C152" s="4" t="s">
        <v>487</v>
      </c>
      <c r="D152" s="4" t="s">
        <v>296</v>
      </c>
      <c r="E152" s="4" t="s">
        <v>487</v>
      </c>
      <c r="F152" s="29"/>
    </row>
    <row r="153" spans="1:6" x14ac:dyDescent="0.25">
      <c r="A153" t="s">
        <v>480</v>
      </c>
      <c r="B153" t="s">
        <v>51</v>
      </c>
      <c r="C153" s="4" t="s">
        <v>487</v>
      </c>
      <c r="D153" s="4" t="s">
        <v>297</v>
      </c>
      <c r="E153" s="4" t="s">
        <v>17</v>
      </c>
      <c r="F153" s="29"/>
    </row>
    <row r="154" spans="1:6" x14ac:dyDescent="0.25">
      <c r="A154" t="s">
        <v>480</v>
      </c>
      <c r="B154" t="s">
        <v>51</v>
      </c>
      <c r="C154" s="4" t="s">
        <v>487</v>
      </c>
      <c r="D154" s="4" t="s">
        <v>298</v>
      </c>
      <c r="E154" s="4" t="s">
        <v>487</v>
      </c>
      <c r="F154" s="29"/>
    </row>
    <row r="155" spans="1:6" x14ac:dyDescent="0.25">
      <c r="A155" t="s">
        <v>480</v>
      </c>
      <c r="B155" t="s">
        <v>51</v>
      </c>
      <c r="C155" s="4">
        <v>18</v>
      </c>
      <c r="D155" s="4" t="s">
        <v>294</v>
      </c>
      <c r="E155" s="4" t="s">
        <v>487</v>
      </c>
      <c r="F155" s="29">
        <v>0.2</v>
      </c>
    </row>
    <row r="156" spans="1:6" x14ac:dyDescent="0.25">
      <c r="A156" t="s">
        <v>480</v>
      </c>
      <c r="B156" t="s">
        <v>51</v>
      </c>
      <c r="C156" s="4" t="s">
        <v>487</v>
      </c>
      <c r="D156" s="4" t="s">
        <v>299</v>
      </c>
      <c r="E156" s="4" t="s">
        <v>36</v>
      </c>
      <c r="F156" s="29"/>
    </row>
    <row r="157" spans="1:6" x14ac:dyDescent="0.25">
      <c r="A157" t="s">
        <v>480</v>
      </c>
      <c r="B157" t="s">
        <v>51</v>
      </c>
      <c r="C157" s="4" t="s">
        <v>487</v>
      </c>
      <c r="D157" s="4" t="s">
        <v>300</v>
      </c>
      <c r="E157" s="4" t="s">
        <v>487</v>
      </c>
      <c r="F157" s="29"/>
    </row>
    <row r="158" spans="1:6" x14ac:dyDescent="0.25">
      <c r="A158" t="s">
        <v>480</v>
      </c>
      <c r="B158" t="s">
        <v>51</v>
      </c>
      <c r="C158" s="4" t="s">
        <v>487</v>
      </c>
      <c r="D158" s="4" t="s">
        <v>301</v>
      </c>
      <c r="E158" s="4" t="s">
        <v>487</v>
      </c>
      <c r="F158" s="29"/>
    </row>
    <row r="159" spans="1:6" x14ac:dyDescent="0.25">
      <c r="A159" t="s">
        <v>480</v>
      </c>
      <c r="B159" t="s">
        <v>51</v>
      </c>
      <c r="C159" s="4" t="s">
        <v>487</v>
      </c>
      <c r="D159" s="4" t="s">
        <v>302</v>
      </c>
      <c r="E159" s="4" t="s">
        <v>487</v>
      </c>
      <c r="F159" s="29"/>
    </row>
    <row r="160" spans="1:6" x14ac:dyDescent="0.25">
      <c r="A160" t="s">
        <v>480</v>
      </c>
      <c r="B160" t="s">
        <v>51</v>
      </c>
      <c r="C160" s="4">
        <v>19</v>
      </c>
      <c r="D160" s="4" t="s">
        <v>114</v>
      </c>
      <c r="E160" s="4" t="s">
        <v>487</v>
      </c>
      <c r="F160" s="29">
        <v>0.2</v>
      </c>
    </row>
    <row r="161" spans="1:6" x14ac:dyDescent="0.25">
      <c r="A161" t="s">
        <v>480</v>
      </c>
      <c r="B161" t="s">
        <v>51</v>
      </c>
      <c r="C161" s="4" t="s">
        <v>487</v>
      </c>
      <c r="D161" s="4" t="s">
        <v>115</v>
      </c>
      <c r="E161" s="4" t="s">
        <v>36</v>
      </c>
      <c r="F161" s="29"/>
    </row>
    <row r="162" spans="1:6" x14ac:dyDescent="0.25">
      <c r="A162" t="s">
        <v>480</v>
      </c>
      <c r="B162" t="s">
        <v>51</v>
      </c>
      <c r="C162" s="4" t="s">
        <v>487</v>
      </c>
      <c r="D162" s="4" t="s">
        <v>14</v>
      </c>
      <c r="E162" s="4" t="s">
        <v>487</v>
      </c>
      <c r="F162" s="29"/>
    </row>
    <row r="163" spans="1:6" x14ac:dyDescent="0.25">
      <c r="A163" t="s">
        <v>480</v>
      </c>
      <c r="B163" t="s">
        <v>51</v>
      </c>
      <c r="C163" s="4" t="s">
        <v>487</v>
      </c>
      <c r="D163" s="4" t="s">
        <v>116</v>
      </c>
      <c r="E163" s="4" t="s">
        <v>487</v>
      </c>
      <c r="F163" s="29"/>
    </row>
    <row r="164" spans="1:6" x14ac:dyDescent="0.25">
      <c r="A164" t="s">
        <v>480</v>
      </c>
      <c r="B164" t="s">
        <v>51</v>
      </c>
      <c r="C164" s="4" t="s">
        <v>487</v>
      </c>
      <c r="D164" s="4" t="s">
        <v>117</v>
      </c>
      <c r="E164" s="4" t="s">
        <v>487</v>
      </c>
      <c r="F164" s="29"/>
    </row>
    <row r="165" spans="1:6" x14ac:dyDescent="0.25">
      <c r="A165" t="s">
        <v>480</v>
      </c>
      <c r="B165" t="s">
        <v>51</v>
      </c>
      <c r="C165" s="4">
        <v>20</v>
      </c>
      <c r="D165" s="4" t="s">
        <v>382</v>
      </c>
      <c r="E165" s="4" t="s">
        <v>487</v>
      </c>
      <c r="F165" s="29">
        <v>0.2</v>
      </c>
    </row>
    <row r="166" spans="1:6" x14ac:dyDescent="0.25">
      <c r="A166" t="s">
        <v>480</v>
      </c>
      <c r="B166" t="s">
        <v>51</v>
      </c>
      <c r="C166" s="4" t="s">
        <v>487</v>
      </c>
      <c r="D166" s="4" t="s">
        <v>109</v>
      </c>
      <c r="E166" s="4" t="s">
        <v>36</v>
      </c>
      <c r="F166" s="29"/>
    </row>
    <row r="167" spans="1:6" x14ac:dyDescent="0.25">
      <c r="A167" t="s">
        <v>480</v>
      </c>
      <c r="B167" t="s">
        <v>51</v>
      </c>
      <c r="C167" s="4" t="s">
        <v>487</v>
      </c>
      <c r="D167" s="4" t="s">
        <v>110</v>
      </c>
      <c r="E167" s="4" t="s">
        <v>487</v>
      </c>
      <c r="F167" s="29"/>
    </row>
    <row r="168" spans="1:6" x14ac:dyDescent="0.25">
      <c r="A168" t="s">
        <v>480</v>
      </c>
      <c r="B168" t="s">
        <v>51</v>
      </c>
      <c r="C168" s="4" t="s">
        <v>487</v>
      </c>
      <c r="D168" s="4" t="s">
        <v>111</v>
      </c>
      <c r="E168" s="4" t="s">
        <v>487</v>
      </c>
      <c r="F168" s="29"/>
    </row>
    <row r="169" spans="1:6" x14ac:dyDescent="0.25">
      <c r="A169" t="s">
        <v>480</v>
      </c>
      <c r="B169" t="s">
        <v>51</v>
      </c>
      <c r="C169" s="4" t="s">
        <v>487</v>
      </c>
      <c r="D169" s="4" t="s">
        <v>112</v>
      </c>
      <c r="E169" s="4" t="s">
        <v>487</v>
      </c>
      <c r="F169" s="29"/>
    </row>
    <row r="170" spans="1:6" x14ac:dyDescent="0.25">
      <c r="A170" t="s">
        <v>480</v>
      </c>
      <c r="B170" t="s">
        <v>51</v>
      </c>
      <c r="C170" s="4">
        <v>21</v>
      </c>
      <c r="D170" s="4" t="s">
        <v>84</v>
      </c>
      <c r="E170" s="4" t="s">
        <v>487</v>
      </c>
      <c r="F170" s="29">
        <v>0.2</v>
      </c>
    </row>
    <row r="171" spans="1:6" x14ac:dyDescent="0.25">
      <c r="A171" t="s">
        <v>480</v>
      </c>
      <c r="B171" t="s">
        <v>51</v>
      </c>
      <c r="C171" s="4" t="s">
        <v>487</v>
      </c>
      <c r="D171" s="4" t="s">
        <v>85</v>
      </c>
      <c r="E171" s="4" t="s">
        <v>487</v>
      </c>
      <c r="F171" s="29"/>
    </row>
    <row r="172" spans="1:6" x14ac:dyDescent="0.25">
      <c r="A172" t="s">
        <v>480</v>
      </c>
      <c r="B172" t="s">
        <v>51</v>
      </c>
      <c r="C172" s="4" t="s">
        <v>487</v>
      </c>
      <c r="D172" s="4" t="s">
        <v>86</v>
      </c>
      <c r="E172" s="4" t="s">
        <v>487</v>
      </c>
      <c r="F172" s="29"/>
    </row>
    <row r="173" spans="1:6" x14ac:dyDescent="0.25">
      <c r="A173" t="s">
        <v>480</v>
      </c>
      <c r="B173" t="s">
        <v>51</v>
      </c>
      <c r="C173" s="4" t="s">
        <v>487</v>
      </c>
      <c r="D173" s="4" t="s">
        <v>87</v>
      </c>
      <c r="E173" s="4" t="s">
        <v>17</v>
      </c>
      <c r="F173" s="29"/>
    </row>
    <row r="174" spans="1:6" x14ac:dyDescent="0.25">
      <c r="A174" t="s">
        <v>480</v>
      </c>
      <c r="B174" t="s">
        <v>51</v>
      </c>
      <c r="C174" s="4" t="s">
        <v>487</v>
      </c>
      <c r="D174" s="4" t="s">
        <v>88</v>
      </c>
      <c r="E174" s="4" t="s">
        <v>487</v>
      </c>
      <c r="F174" s="29"/>
    </row>
    <row r="175" spans="1:6" x14ac:dyDescent="0.25">
      <c r="A175" t="s">
        <v>480</v>
      </c>
      <c r="B175" t="s">
        <v>51</v>
      </c>
      <c r="C175" s="4">
        <v>22</v>
      </c>
      <c r="D175" s="4" t="s">
        <v>317</v>
      </c>
      <c r="E175" s="4" t="s">
        <v>487</v>
      </c>
      <c r="F175" s="29">
        <v>0.2</v>
      </c>
    </row>
    <row r="176" spans="1:6" x14ac:dyDescent="0.25">
      <c r="A176" t="s">
        <v>480</v>
      </c>
      <c r="B176" t="s">
        <v>51</v>
      </c>
      <c r="C176" s="4" t="s">
        <v>487</v>
      </c>
      <c r="D176" s="4" t="s">
        <v>318</v>
      </c>
      <c r="E176" s="4" t="s">
        <v>36</v>
      </c>
      <c r="F176" s="29"/>
    </row>
    <row r="177" spans="1:6" x14ac:dyDescent="0.25">
      <c r="A177" t="s">
        <v>480</v>
      </c>
      <c r="B177" t="s">
        <v>51</v>
      </c>
      <c r="C177" s="4" t="s">
        <v>487</v>
      </c>
      <c r="D177" s="4" t="s">
        <v>316</v>
      </c>
      <c r="E177" s="4" t="s">
        <v>487</v>
      </c>
      <c r="F177" s="29"/>
    </row>
    <row r="178" spans="1:6" x14ac:dyDescent="0.25">
      <c r="A178" t="s">
        <v>480</v>
      </c>
      <c r="B178" t="s">
        <v>51</v>
      </c>
      <c r="C178" s="4" t="s">
        <v>487</v>
      </c>
      <c r="D178" s="4" t="s">
        <v>205</v>
      </c>
      <c r="E178" s="4" t="s">
        <v>487</v>
      </c>
      <c r="F178" s="29"/>
    </row>
    <row r="179" spans="1:6" x14ac:dyDescent="0.25">
      <c r="A179" t="s">
        <v>480</v>
      </c>
      <c r="B179" t="s">
        <v>51</v>
      </c>
      <c r="C179" s="4" t="s">
        <v>487</v>
      </c>
      <c r="D179" s="4" t="s">
        <v>124</v>
      </c>
      <c r="E179" s="4" t="s">
        <v>487</v>
      </c>
      <c r="F179" s="29"/>
    </row>
    <row r="180" spans="1:6" x14ac:dyDescent="0.25">
      <c r="A180" t="s">
        <v>480</v>
      </c>
      <c r="B180" t="s">
        <v>51</v>
      </c>
      <c r="C180" s="4">
        <v>23</v>
      </c>
      <c r="D180" s="4" t="s">
        <v>118</v>
      </c>
      <c r="E180" s="4" t="s">
        <v>487</v>
      </c>
      <c r="F180" s="29">
        <v>0.2</v>
      </c>
    </row>
    <row r="181" spans="1:6" x14ac:dyDescent="0.25">
      <c r="A181" t="s">
        <v>480</v>
      </c>
      <c r="B181" t="s">
        <v>51</v>
      </c>
      <c r="C181" s="4" t="s">
        <v>487</v>
      </c>
      <c r="D181" s="4" t="s">
        <v>119</v>
      </c>
      <c r="E181" s="4" t="s">
        <v>36</v>
      </c>
      <c r="F181" s="29"/>
    </row>
    <row r="182" spans="1:6" x14ac:dyDescent="0.25">
      <c r="A182" t="s">
        <v>480</v>
      </c>
      <c r="B182" t="s">
        <v>51</v>
      </c>
      <c r="C182" s="4" t="s">
        <v>487</v>
      </c>
      <c r="D182" s="4" t="s">
        <v>120</v>
      </c>
      <c r="E182" s="4" t="s">
        <v>487</v>
      </c>
      <c r="F182" s="29"/>
    </row>
    <row r="183" spans="1:6" x14ac:dyDescent="0.25">
      <c r="A183" t="s">
        <v>480</v>
      </c>
      <c r="B183" t="s">
        <v>51</v>
      </c>
      <c r="C183" s="4" t="s">
        <v>487</v>
      </c>
      <c r="D183" s="4" t="s">
        <v>121</v>
      </c>
      <c r="E183" s="4" t="s">
        <v>487</v>
      </c>
      <c r="F183" s="29"/>
    </row>
    <row r="184" spans="1:6" x14ac:dyDescent="0.25">
      <c r="A184" t="s">
        <v>480</v>
      </c>
      <c r="B184" t="s">
        <v>51</v>
      </c>
      <c r="C184" s="4" t="s">
        <v>487</v>
      </c>
      <c r="D184" s="4" t="s">
        <v>122</v>
      </c>
      <c r="E184" s="4" t="s">
        <v>487</v>
      </c>
      <c r="F184" s="29"/>
    </row>
    <row r="185" spans="1:6" x14ac:dyDescent="0.25">
      <c r="C185" s="4"/>
      <c r="D185" s="28" t="s">
        <v>481</v>
      </c>
      <c r="E185" s="4"/>
      <c r="F185" s="29"/>
    </row>
    <row r="186" spans="1:6" x14ac:dyDescent="0.25">
      <c r="C186" s="4"/>
      <c r="D186" s="28" t="s">
        <v>488</v>
      </c>
      <c r="E186" s="4"/>
      <c r="F186" s="29"/>
    </row>
    <row r="187" spans="1:6" x14ac:dyDescent="0.25">
      <c r="A187" t="s">
        <v>481</v>
      </c>
      <c r="B187" t="s">
        <v>10</v>
      </c>
      <c r="C187" s="4">
        <v>1</v>
      </c>
      <c r="D187" s="4" t="s">
        <v>273</v>
      </c>
      <c r="E187" s="4" t="s">
        <v>487</v>
      </c>
      <c r="F187" s="29">
        <v>0.2</v>
      </c>
    </row>
    <row r="188" spans="1:6" x14ac:dyDescent="0.25">
      <c r="A188" t="s">
        <v>481</v>
      </c>
      <c r="B188" t="s">
        <v>10</v>
      </c>
      <c r="C188" s="4" t="s">
        <v>487</v>
      </c>
      <c r="D188" s="4" t="s">
        <v>274</v>
      </c>
      <c r="E188" s="4" t="s">
        <v>36</v>
      </c>
      <c r="F188" s="29"/>
    </row>
    <row r="189" spans="1:6" x14ac:dyDescent="0.25">
      <c r="A189" t="s">
        <v>481</v>
      </c>
      <c r="B189" t="s">
        <v>10</v>
      </c>
      <c r="C189" s="4" t="s">
        <v>487</v>
      </c>
      <c r="D189" s="4" t="s">
        <v>275</v>
      </c>
      <c r="E189" s="4" t="s">
        <v>487</v>
      </c>
      <c r="F189" s="29"/>
    </row>
    <row r="190" spans="1:6" x14ac:dyDescent="0.25">
      <c r="A190" t="s">
        <v>481</v>
      </c>
      <c r="B190" t="s">
        <v>10</v>
      </c>
      <c r="C190" s="4" t="s">
        <v>487</v>
      </c>
      <c r="D190" s="4" t="s">
        <v>276</v>
      </c>
      <c r="E190" s="4" t="s">
        <v>487</v>
      </c>
      <c r="F190" s="29"/>
    </row>
    <row r="191" spans="1:6" x14ac:dyDescent="0.25">
      <c r="A191" t="s">
        <v>481</v>
      </c>
      <c r="B191" t="s">
        <v>10</v>
      </c>
      <c r="C191" s="4" t="s">
        <v>487</v>
      </c>
      <c r="D191" s="4" t="s">
        <v>277</v>
      </c>
      <c r="E191" s="4" t="s">
        <v>487</v>
      </c>
      <c r="F191" s="29"/>
    </row>
    <row r="192" spans="1:6" x14ac:dyDescent="0.25">
      <c r="A192" t="s">
        <v>481</v>
      </c>
      <c r="B192" t="s">
        <v>10</v>
      </c>
      <c r="C192" s="4">
        <v>2</v>
      </c>
      <c r="D192" s="4" t="s">
        <v>12</v>
      </c>
      <c r="E192" s="4" t="s">
        <v>487</v>
      </c>
      <c r="F192" s="29">
        <v>0.2</v>
      </c>
    </row>
    <row r="193" spans="1:6" x14ac:dyDescent="0.25">
      <c r="A193" t="s">
        <v>481</v>
      </c>
      <c r="B193" t="s">
        <v>10</v>
      </c>
      <c r="C193" s="4" t="s">
        <v>487</v>
      </c>
      <c r="D193" s="4" t="s">
        <v>13</v>
      </c>
      <c r="E193" s="4" t="s">
        <v>487</v>
      </c>
      <c r="F193" s="29"/>
    </row>
    <row r="194" spans="1:6" x14ac:dyDescent="0.25">
      <c r="A194" t="s">
        <v>481</v>
      </c>
      <c r="B194" t="s">
        <v>10</v>
      </c>
      <c r="C194" s="4" t="s">
        <v>487</v>
      </c>
      <c r="D194" s="4" t="s">
        <v>14</v>
      </c>
      <c r="E194" s="4" t="s">
        <v>487</v>
      </c>
      <c r="F194" s="29"/>
    </row>
    <row r="195" spans="1:6" x14ac:dyDescent="0.25">
      <c r="A195" t="s">
        <v>481</v>
      </c>
      <c r="B195" t="s">
        <v>10</v>
      </c>
      <c r="C195" s="4" t="s">
        <v>487</v>
      </c>
      <c r="D195" s="4" t="s">
        <v>15</v>
      </c>
      <c r="E195" s="4" t="s">
        <v>17</v>
      </c>
      <c r="F195" s="29"/>
    </row>
    <row r="196" spans="1:6" x14ac:dyDescent="0.25">
      <c r="A196" t="s">
        <v>481</v>
      </c>
      <c r="B196" t="s">
        <v>10</v>
      </c>
      <c r="C196" s="4" t="s">
        <v>487</v>
      </c>
      <c r="D196" s="4" t="s">
        <v>16</v>
      </c>
      <c r="E196" s="4" t="s">
        <v>487</v>
      </c>
      <c r="F196" s="29"/>
    </row>
    <row r="197" spans="1:6" x14ac:dyDescent="0.25">
      <c r="A197" t="s">
        <v>481</v>
      </c>
      <c r="B197" t="s">
        <v>10</v>
      </c>
      <c r="C197" s="4">
        <v>3</v>
      </c>
      <c r="D197" s="4" t="s">
        <v>18</v>
      </c>
      <c r="E197" s="4" t="s">
        <v>487</v>
      </c>
      <c r="F197" s="29">
        <v>0.2</v>
      </c>
    </row>
    <row r="198" spans="1:6" x14ac:dyDescent="0.25">
      <c r="A198" t="s">
        <v>481</v>
      </c>
      <c r="B198" t="s">
        <v>10</v>
      </c>
      <c r="C198" s="4" t="s">
        <v>487</v>
      </c>
      <c r="D198" s="4" t="s">
        <v>19</v>
      </c>
      <c r="E198" s="4" t="s">
        <v>487</v>
      </c>
      <c r="F198" s="29"/>
    </row>
    <row r="199" spans="1:6" x14ac:dyDescent="0.25">
      <c r="A199" t="s">
        <v>481</v>
      </c>
      <c r="B199" t="s">
        <v>10</v>
      </c>
      <c r="C199" s="4" t="s">
        <v>487</v>
      </c>
      <c r="D199" s="4" t="s">
        <v>20</v>
      </c>
      <c r="E199" s="4" t="s">
        <v>9</v>
      </c>
      <c r="F199" s="29"/>
    </row>
    <row r="200" spans="1:6" x14ac:dyDescent="0.25">
      <c r="A200" t="s">
        <v>481</v>
      </c>
      <c r="B200" t="s">
        <v>10</v>
      </c>
      <c r="C200" s="4" t="s">
        <v>487</v>
      </c>
      <c r="D200" s="4" t="s">
        <v>21</v>
      </c>
      <c r="E200" s="4" t="s">
        <v>487</v>
      </c>
      <c r="F200" s="29"/>
    </row>
    <row r="201" spans="1:6" x14ac:dyDescent="0.25">
      <c r="A201" t="s">
        <v>481</v>
      </c>
      <c r="B201" t="s">
        <v>10</v>
      </c>
      <c r="C201" s="4" t="s">
        <v>487</v>
      </c>
      <c r="D201" s="4" t="s">
        <v>22</v>
      </c>
      <c r="E201" s="4" t="s">
        <v>487</v>
      </c>
      <c r="F201" s="29"/>
    </row>
    <row r="202" spans="1:6" x14ac:dyDescent="0.25">
      <c r="A202" t="s">
        <v>481</v>
      </c>
      <c r="B202" t="s">
        <v>10</v>
      </c>
      <c r="C202" s="4">
        <v>4</v>
      </c>
      <c r="D202" s="4" t="s">
        <v>278</v>
      </c>
      <c r="E202" s="4" t="s">
        <v>487</v>
      </c>
      <c r="F202" s="29">
        <v>0.2</v>
      </c>
    </row>
    <row r="203" spans="1:6" x14ac:dyDescent="0.25">
      <c r="A203" t="s">
        <v>481</v>
      </c>
      <c r="B203" t="s">
        <v>10</v>
      </c>
      <c r="C203" s="4" t="s">
        <v>487</v>
      </c>
      <c r="D203" s="4" t="s">
        <v>279</v>
      </c>
      <c r="E203" s="4" t="s">
        <v>36</v>
      </c>
      <c r="F203" s="29"/>
    </row>
    <row r="204" spans="1:6" x14ac:dyDescent="0.25">
      <c r="A204" t="s">
        <v>481</v>
      </c>
      <c r="B204" t="s">
        <v>10</v>
      </c>
      <c r="C204" s="4" t="s">
        <v>487</v>
      </c>
      <c r="D204" s="4" t="s">
        <v>280</v>
      </c>
      <c r="E204" s="4" t="s">
        <v>487</v>
      </c>
      <c r="F204" s="29"/>
    </row>
    <row r="205" spans="1:6" x14ac:dyDescent="0.25">
      <c r="A205" t="s">
        <v>481</v>
      </c>
      <c r="B205" t="s">
        <v>10</v>
      </c>
      <c r="C205" s="4" t="s">
        <v>487</v>
      </c>
      <c r="D205" s="4" t="s">
        <v>281</v>
      </c>
      <c r="E205" s="4" t="s">
        <v>487</v>
      </c>
      <c r="F205" s="29"/>
    </row>
    <row r="206" spans="1:6" x14ac:dyDescent="0.25">
      <c r="A206" t="s">
        <v>481</v>
      </c>
      <c r="B206" t="s">
        <v>10</v>
      </c>
      <c r="C206" s="4" t="s">
        <v>487</v>
      </c>
      <c r="D206" s="4" t="s">
        <v>282</v>
      </c>
      <c r="E206" s="4" t="s">
        <v>487</v>
      </c>
      <c r="F206" s="29"/>
    </row>
    <row r="207" spans="1:6" x14ac:dyDescent="0.25">
      <c r="C207" s="4"/>
      <c r="D207" s="28" t="s">
        <v>489</v>
      </c>
      <c r="E207" s="4"/>
      <c r="F207" s="29"/>
    </row>
    <row r="208" spans="1:6" x14ac:dyDescent="0.25">
      <c r="A208" t="s">
        <v>481</v>
      </c>
      <c r="B208" t="s">
        <v>51</v>
      </c>
      <c r="C208" s="4">
        <v>1</v>
      </c>
      <c r="D208" s="4" t="s">
        <v>342</v>
      </c>
      <c r="E208" s="4" t="s">
        <v>487</v>
      </c>
      <c r="F208" s="29">
        <v>0.2</v>
      </c>
    </row>
    <row r="209" spans="1:6" x14ac:dyDescent="0.25">
      <c r="A209" t="s">
        <v>481</v>
      </c>
      <c r="B209" t="s">
        <v>51</v>
      </c>
      <c r="C209" s="4" t="s">
        <v>487</v>
      </c>
      <c r="D209" s="4" t="s">
        <v>19</v>
      </c>
      <c r="E209" s="4" t="s">
        <v>487</v>
      </c>
      <c r="F209" s="29"/>
    </row>
    <row r="210" spans="1:6" x14ac:dyDescent="0.25">
      <c r="A210" t="s">
        <v>481</v>
      </c>
      <c r="B210" t="s">
        <v>51</v>
      </c>
      <c r="C210" s="4" t="s">
        <v>487</v>
      </c>
      <c r="D210" s="4" t="s">
        <v>83</v>
      </c>
      <c r="E210" s="4" t="s">
        <v>9</v>
      </c>
      <c r="F210" s="29"/>
    </row>
    <row r="211" spans="1:6" x14ac:dyDescent="0.25">
      <c r="A211" t="s">
        <v>481</v>
      </c>
      <c r="B211" t="s">
        <v>51</v>
      </c>
      <c r="C211" s="4" t="s">
        <v>487</v>
      </c>
      <c r="D211" s="4" t="s">
        <v>20</v>
      </c>
      <c r="E211" s="4" t="s">
        <v>487</v>
      </c>
      <c r="F211" s="29"/>
    </row>
    <row r="212" spans="1:6" x14ac:dyDescent="0.25">
      <c r="A212" t="s">
        <v>481</v>
      </c>
      <c r="B212" t="s">
        <v>51</v>
      </c>
      <c r="C212" s="4" t="s">
        <v>487</v>
      </c>
      <c r="D212" s="4" t="s">
        <v>22</v>
      </c>
      <c r="E212" s="4" t="s">
        <v>487</v>
      </c>
      <c r="F212" s="29"/>
    </row>
    <row r="213" spans="1:6" x14ac:dyDescent="0.25">
      <c r="A213" t="s">
        <v>481</v>
      </c>
      <c r="B213" t="s">
        <v>51</v>
      </c>
      <c r="C213" s="4">
        <v>2</v>
      </c>
      <c r="D213" s="4" t="s">
        <v>161</v>
      </c>
      <c r="E213" s="4" t="s">
        <v>487</v>
      </c>
      <c r="F213" s="29">
        <v>0.2</v>
      </c>
    </row>
    <row r="214" spans="1:6" x14ac:dyDescent="0.25">
      <c r="A214" t="s">
        <v>481</v>
      </c>
      <c r="B214" t="s">
        <v>51</v>
      </c>
      <c r="C214" s="4" t="s">
        <v>487</v>
      </c>
      <c r="D214" s="4" t="s">
        <v>162</v>
      </c>
      <c r="E214" s="4" t="s">
        <v>9</v>
      </c>
      <c r="F214" s="29"/>
    </row>
    <row r="215" spans="1:6" x14ac:dyDescent="0.25">
      <c r="A215" t="s">
        <v>481</v>
      </c>
      <c r="B215" t="s">
        <v>51</v>
      </c>
      <c r="C215" s="4" t="s">
        <v>487</v>
      </c>
      <c r="D215" s="4" t="s">
        <v>113</v>
      </c>
      <c r="E215" s="4" t="s">
        <v>487</v>
      </c>
      <c r="F215" s="29"/>
    </row>
    <row r="216" spans="1:6" x14ac:dyDescent="0.25">
      <c r="A216" t="s">
        <v>481</v>
      </c>
      <c r="B216" t="s">
        <v>51</v>
      </c>
      <c r="C216" s="4" t="s">
        <v>487</v>
      </c>
      <c r="D216" s="4" t="s">
        <v>163</v>
      </c>
      <c r="E216" s="4" t="s">
        <v>487</v>
      </c>
      <c r="F216" s="29"/>
    </row>
    <row r="217" spans="1:6" x14ac:dyDescent="0.25">
      <c r="A217" t="s">
        <v>481</v>
      </c>
      <c r="B217" t="s">
        <v>51</v>
      </c>
      <c r="C217" s="4" t="s">
        <v>487</v>
      </c>
      <c r="D217" s="4" t="s">
        <v>151</v>
      </c>
      <c r="E217" s="4" t="s">
        <v>487</v>
      </c>
      <c r="F217" s="29"/>
    </row>
    <row r="218" spans="1:6" x14ac:dyDescent="0.25">
      <c r="A218" t="s">
        <v>481</v>
      </c>
      <c r="B218" t="s">
        <v>51</v>
      </c>
      <c r="C218" s="4">
        <v>3</v>
      </c>
      <c r="D218" s="4" t="s">
        <v>47</v>
      </c>
      <c r="E218" s="4" t="s">
        <v>487</v>
      </c>
      <c r="F218" s="29">
        <v>0.2</v>
      </c>
    </row>
    <row r="219" spans="1:6" x14ac:dyDescent="0.25">
      <c r="A219" t="s">
        <v>481</v>
      </c>
      <c r="B219" t="s">
        <v>51</v>
      </c>
      <c r="C219" s="4" t="s">
        <v>487</v>
      </c>
      <c r="D219" s="4" t="s">
        <v>48</v>
      </c>
      <c r="E219" s="4" t="s">
        <v>487</v>
      </c>
      <c r="F219" s="29"/>
    </row>
    <row r="220" spans="1:6" x14ac:dyDescent="0.25">
      <c r="A220" t="s">
        <v>481</v>
      </c>
      <c r="B220" t="s">
        <v>51</v>
      </c>
      <c r="C220" s="4" t="s">
        <v>487</v>
      </c>
      <c r="D220" s="4" t="s">
        <v>283</v>
      </c>
      <c r="E220" s="4" t="s">
        <v>9</v>
      </c>
      <c r="F220" s="29"/>
    </row>
    <row r="221" spans="1:6" x14ac:dyDescent="0.25">
      <c r="A221" t="s">
        <v>481</v>
      </c>
      <c r="B221" t="s">
        <v>51</v>
      </c>
      <c r="C221" s="4" t="s">
        <v>487</v>
      </c>
      <c r="D221" s="4" t="s">
        <v>49</v>
      </c>
      <c r="E221" s="4" t="s">
        <v>487</v>
      </c>
      <c r="F221" s="29"/>
    </row>
    <row r="222" spans="1:6" x14ac:dyDescent="0.25">
      <c r="A222" t="s">
        <v>481</v>
      </c>
      <c r="B222" t="s">
        <v>51</v>
      </c>
      <c r="C222" s="4" t="s">
        <v>487</v>
      </c>
      <c r="D222" s="4" t="s">
        <v>50</v>
      </c>
      <c r="E222" s="4" t="s">
        <v>487</v>
      </c>
      <c r="F222" s="29"/>
    </row>
    <row r="223" spans="1:6" x14ac:dyDescent="0.25">
      <c r="A223" t="s">
        <v>481</v>
      </c>
      <c r="B223" t="s">
        <v>51</v>
      </c>
      <c r="C223" s="4">
        <v>4</v>
      </c>
      <c r="D223" s="4" t="s">
        <v>104</v>
      </c>
      <c r="E223" s="4" t="s">
        <v>487</v>
      </c>
      <c r="F223" s="29">
        <v>0.2</v>
      </c>
    </row>
    <row r="224" spans="1:6" x14ac:dyDescent="0.25">
      <c r="A224" t="s">
        <v>481</v>
      </c>
      <c r="B224" t="s">
        <v>51</v>
      </c>
      <c r="C224" s="4" t="s">
        <v>487</v>
      </c>
      <c r="D224" s="4" t="s">
        <v>105</v>
      </c>
      <c r="E224" s="4" t="s">
        <v>36</v>
      </c>
      <c r="F224" s="29"/>
    </row>
    <row r="225" spans="1:6" x14ac:dyDescent="0.25">
      <c r="A225" t="s">
        <v>481</v>
      </c>
      <c r="B225" t="s">
        <v>51</v>
      </c>
      <c r="C225" s="4" t="s">
        <v>487</v>
      </c>
      <c r="D225" s="4" t="s">
        <v>106</v>
      </c>
      <c r="E225" s="4" t="s">
        <v>487</v>
      </c>
      <c r="F225" s="29"/>
    </row>
    <row r="226" spans="1:6" x14ac:dyDescent="0.25">
      <c r="A226" t="s">
        <v>481</v>
      </c>
      <c r="B226" t="s">
        <v>51</v>
      </c>
      <c r="C226" s="4" t="s">
        <v>487</v>
      </c>
      <c r="D226" s="4" t="s">
        <v>107</v>
      </c>
      <c r="E226" s="4" t="s">
        <v>487</v>
      </c>
      <c r="F226" s="29"/>
    </row>
    <row r="227" spans="1:6" x14ac:dyDescent="0.25">
      <c r="A227" t="s">
        <v>481</v>
      </c>
      <c r="B227" t="s">
        <v>51</v>
      </c>
      <c r="C227" s="4" t="s">
        <v>487</v>
      </c>
      <c r="D227" s="4" t="s">
        <v>108</v>
      </c>
      <c r="E227" s="4" t="s">
        <v>487</v>
      </c>
      <c r="F227" s="29"/>
    </row>
    <row r="228" spans="1:6" x14ac:dyDescent="0.25">
      <c r="A228" t="s">
        <v>481</v>
      </c>
      <c r="B228" t="s">
        <v>51</v>
      </c>
      <c r="C228" s="4">
        <v>5</v>
      </c>
      <c r="D228" s="4" t="s">
        <v>94</v>
      </c>
      <c r="E228" s="4" t="s">
        <v>487</v>
      </c>
      <c r="F228" s="29">
        <v>0.2</v>
      </c>
    </row>
    <row r="229" spans="1:6" x14ac:dyDescent="0.25">
      <c r="A229" t="s">
        <v>481</v>
      </c>
      <c r="B229" t="s">
        <v>51</v>
      </c>
      <c r="C229" s="4" t="s">
        <v>487</v>
      </c>
      <c r="D229" s="4" t="s">
        <v>95</v>
      </c>
      <c r="E229" s="4" t="s">
        <v>36</v>
      </c>
      <c r="F229" s="29"/>
    </row>
    <row r="230" spans="1:6" x14ac:dyDescent="0.25">
      <c r="A230" t="s">
        <v>481</v>
      </c>
      <c r="B230" t="s">
        <v>51</v>
      </c>
      <c r="C230" s="4" t="s">
        <v>487</v>
      </c>
      <c r="D230" s="4" t="s">
        <v>96</v>
      </c>
      <c r="E230" s="4" t="s">
        <v>487</v>
      </c>
      <c r="F230" s="29"/>
    </row>
    <row r="231" spans="1:6" x14ac:dyDescent="0.25">
      <c r="A231" t="s">
        <v>481</v>
      </c>
      <c r="B231" t="s">
        <v>51</v>
      </c>
      <c r="C231" s="4" t="s">
        <v>487</v>
      </c>
      <c r="D231" s="4" t="s">
        <v>97</v>
      </c>
      <c r="E231" s="4" t="s">
        <v>487</v>
      </c>
      <c r="F231" s="29"/>
    </row>
    <row r="232" spans="1:6" x14ac:dyDescent="0.25">
      <c r="A232" t="s">
        <v>481</v>
      </c>
      <c r="B232" t="s">
        <v>51</v>
      </c>
      <c r="C232" s="4" t="s">
        <v>487</v>
      </c>
      <c r="D232" s="4" t="s">
        <v>98</v>
      </c>
      <c r="E232" s="4" t="s">
        <v>487</v>
      </c>
      <c r="F232" s="29"/>
    </row>
    <row r="233" spans="1:6" x14ac:dyDescent="0.25">
      <c r="A233" t="s">
        <v>481</v>
      </c>
      <c r="B233" t="s">
        <v>51</v>
      </c>
      <c r="C233" s="4">
        <v>6</v>
      </c>
      <c r="D233" s="4" t="s">
        <v>89</v>
      </c>
      <c r="E233" s="4" t="s">
        <v>487</v>
      </c>
      <c r="F233" s="29">
        <v>0.2</v>
      </c>
    </row>
    <row r="234" spans="1:6" x14ac:dyDescent="0.25">
      <c r="A234" t="s">
        <v>481</v>
      </c>
      <c r="B234" t="s">
        <v>51</v>
      </c>
      <c r="C234" s="4" t="s">
        <v>487</v>
      </c>
      <c r="D234" s="4" t="s">
        <v>90</v>
      </c>
      <c r="E234" s="4" t="s">
        <v>36</v>
      </c>
      <c r="F234" s="29"/>
    </row>
    <row r="235" spans="1:6" x14ac:dyDescent="0.25">
      <c r="A235" t="s">
        <v>481</v>
      </c>
      <c r="B235" t="s">
        <v>51</v>
      </c>
      <c r="C235" s="4" t="s">
        <v>487</v>
      </c>
      <c r="D235" s="4" t="s">
        <v>91</v>
      </c>
      <c r="E235" s="4" t="s">
        <v>487</v>
      </c>
      <c r="F235" s="29"/>
    </row>
    <row r="236" spans="1:6" x14ac:dyDescent="0.25">
      <c r="A236" t="s">
        <v>481</v>
      </c>
      <c r="B236" t="s">
        <v>51</v>
      </c>
      <c r="C236" s="4" t="s">
        <v>487</v>
      </c>
      <c r="D236" s="4" t="s">
        <v>92</v>
      </c>
      <c r="E236" s="4" t="s">
        <v>487</v>
      </c>
      <c r="F236" s="29"/>
    </row>
    <row r="237" spans="1:6" x14ac:dyDescent="0.25">
      <c r="A237" t="s">
        <v>481</v>
      </c>
      <c r="B237" t="s">
        <v>51</v>
      </c>
      <c r="C237" s="4" t="s">
        <v>487</v>
      </c>
      <c r="D237" s="4" t="s">
        <v>93</v>
      </c>
      <c r="E237" s="4" t="s">
        <v>487</v>
      </c>
      <c r="F237" s="29"/>
    </row>
    <row r="238" spans="1:6" x14ac:dyDescent="0.25">
      <c r="A238" t="s">
        <v>481</v>
      </c>
      <c r="B238" t="s">
        <v>51</v>
      </c>
      <c r="C238" s="4">
        <v>7</v>
      </c>
      <c r="D238" s="4" t="s">
        <v>99</v>
      </c>
      <c r="E238" s="4" t="s">
        <v>487</v>
      </c>
      <c r="F238" s="29">
        <v>0.2</v>
      </c>
    </row>
    <row r="239" spans="1:6" x14ac:dyDescent="0.25">
      <c r="A239" t="s">
        <v>481</v>
      </c>
      <c r="B239" t="s">
        <v>51</v>
      </c>
      <c r="C239" s="4" t="s">
        <v>487</v>
      </c>
      <c r="D239" s="4" t="s">
        <v>100</v>
      </c>
      <c r="E239" s="4" t="s">
        <v>36</v>
      </c>
      <c r="F239" s="29"/>
    </row>
    <row r="240" spans="1:6" x14ac:dyDescent="0.25">
      <c r="A240" t="s">
        <v>481</v>
      </c>
      <c r="B240" t="s">
        <v>51</v>
      </c>
      <c r="C240" s="4" t="s">
        <v>487</v>
      </c>
      <c r="D240" s="4" t="s">
        <v>101</v>
      </c>
      <c r="E240" s="4" t="s">
        <v>487</v>
      </c>
      <c r="F240" s="29"/>
    </row>
    <row r="241" spans="1:6" x14ac:dyDescent="0.25">
      <c r="A241" t="s">
        <v>481</v>
      </c>
      <c r="B241" t="s">
        <v>51</v>
      </c>
      <c r="C241" s="4" t="s">
        <v>487</v>
      </c>
      <c r="D241" s="4" t="s">
        <v>102</v>
      </c>
      <c r="E241" s="4" t="s">
        <v>487</v>
      </c>
      <c r="F241" s="29"/>
    </row>
    <row r="242" spans="1:6" x14ac:dyDescent="0.25">
      <c r="A242" t="s">
        <v>481</v>
      </c>
      <c r="B242" t="s">
        <v>51</v>
      </c>
      <c r="C242" s="4" t="s">
        <v>487</v>
      </c>
      <c r="D242" s="4" t="s">
        <v>103</v>
      </c>
      <c r="E242" s="4" t="s">
        <v>487</v>
      </c>
      <c r="F242" s="29"/>
    </row>
    <row r="243" spans="1:6" x14ac:dyDescent="0.25">
      <c r="C243" s="4" t="s">
        <v>487</v>
      </c>
      <c r="D243" s="28" t="s">
        <v>482</v>
      </c>
      <c r="E243" s="4"/>
      <c r="F243" s="29"/>
    </row>
    <row r="244" spans="1:6" x14ac:dyDescent="0.25">
      <c r="C244" s="4" t="s">
        <v>487</v>
      </c>
      <c r="D244" s="28" t="s">
        <v>489</v>
      </c>
      <c r="E244" s="4"/>
      <c r="F244" s="29"/>
    </row>
    <row r="245" spans="1:6" x14ac:dyDescent="0.25">
      <c r="A245" t="s">
        <v>482</v>
      </c>
      <c r="B245" t="s">
        <v>51</v>
      </c>
      <c r="C245" s="4">
        <v>1</v>
      </c>
      <c r="D245" s="4" t="s">
        <v>363</v>
      </c>
      <c r="E245" s="4" t="s">
        <v>487</v>
      </c>
      <c r="F245" s="29">
        <v>0.2</v>
      </c>
    </row>
    <row r="246" spans="1:6" x14ac:dyDescent="0.25">
      <c r="A246" t="s">
        <v>482</v>
      </c>
      <c r="B246" t="s">
        <v>51</v>
      </c>
      <c r="C246" s="4" t="s">
        <v>487</v>
      </c>
      <c r="D246" s="4" t="s">
        <v>258</v>
      </c>
      <c r="E246" s="4" t="s">
        <v>36</v>
      </c>
      <c r="F246" s="29"/>
    </row>
    <row r="247" spans="1:6" x14ac:dyDescent="0.25">
      <c r="A247" t="s">
        <v>482</v>
      </c>
      <c r="B247" t="s">
        <v>51</v>
      </c>
      <c r="C247" s="4" t="s">
        <v>487</v>
      </c>
      <c r="D247" s="4" t="s">
        <v>259</v>
      </c>
      <c r="E247" s="4" t="s">
        <v>487</v>
      </c>
      <c r="F247" s="29"/>
    </row>
    <row r="248" spans="1:6" x14ac:dyDescent="0.25">
      <c r="A248" t="s">
        <v>482</v>
      </c>
      <c r="B248" t="s">
        <v>51</v>
      </c>
      <c r="C248" s="4" t="s">
        <v>487</v>
      </c>
      <c r="D248" s="4" t="s">
        <v>260</v>
      </c>
      <c r="E248" s="4" t="s">
        <v>487</v>
      </c>
      <c r="F248" s="29"/>
    </row>
    <row r="249" spans="1:6" x14ac:dyDescent="0.25">
      <c r="A249" t="s">
        <v>482</v>
      </c>
      <c r="B249" t="s">
        <v>51</v>
      </c>
      <c r="C249" s="4" t="s">
        <v>487</v>
      </c>
      <c r="D249" s="4" t="s">
        <v>261</v>
      </c>
      <c r="E249" s="4" t="s">
        <v>487</v>
      </c>
      <c r="F249" s="29"/>
    </row>
    <row r="250" spans="1:6" x14ac:dyDescent="0.25">
      <c r="A250" t="s">
        <v>482</v>
      </c>
      <c r="B250" t="s">
        <v>51</v>
      </c>
      <c r="C250" s="4">
        <v>2</v>
      </c>
      <c r="D250" s="4" t="s">
        <v>364</v>
      </c>
      <c r="E250" s="4" t="s">
        <v>487</v>
      </c>
      <c r="F250" s="29">
        <v>0.2</v>
      </c>
    </row>
    <row r="251" spans="1:6" x14ac:dyDescent="0.25">
      <c r="A251" t="s">
        <v>482</v>
      </c>
      <c r="B251" t="s">
        <v>51</v>
      </c>
      <c r="C251" s="4" t="s">
        <v>487</v>
      </c>
      <c r="D251" s="4" t="s">
        <v>365</v>
      </c>
      <c r="E251" s="4" t="s">
        <v>36</v>
      </c>
      <c r="F251" s="29"/>
    </row>
    <row r="252" spans="1:6" x14ac:dyDescent="0.25">
      <c r="A252" t="s">
        <v>482</v>
      </c>
      <c r="B252" t="s">
        <v>51</v>
      </c>
      <c r="C252" s="4" t="s">
        <v>487</v>
      </c>
      <c r="D252" s="4" t="s">
        <v>257</v>
      </c>
      <c r="E252" s="4" t="s">
        <v>487</v>
      </c>
      <c r="F252" s="29"/>
    </row>
    <row r="253" spans="1:6" x14ac:dyDescent="0.25">
      <c r="A253" t="s">
        <v>482</v>
      </c>
      <c r="B253" t="s">
        <v>51</v>
      </c>
      <c r="C253" s="4" t="s">
        <v>487</v>
      </c>
      <c r="D253" s="4" t="s">
        <v>255</v>
      </c>
      <c r="E253" s="4" t="s">
        <v>487</v>
      </c>
      <c r="F253" s="29"/>
    </row>
    <row r="254" spans="1:6" x14ac:dyDescent="0.25">
      <c r="A254" t="s">
        <v>482</v>
      </c>
      <c r="B254" t="s">
        <v>51</v>
      </c>
      <c r="C254" s="4" t="s">
        <v>487</v>
      </c>
      <c r="D254" s="4" t="s">
        <v>256</v>
      </c>
      <c r="E254" s="4" t="s">
        <v>487</v>
      </c>
      <c r="F254" s="29"/>
    </row>
    <row r="255" spans="1:6" x14ac:dyDescent="0.25">
      <c r="A255" t="s">
        <v>482</v>
      </c>
      <c r="B255" t="s">
        <v>51</v>
      </c>
      <c r="C255" s="4">
        <v>3</v>
      </c>
      <c r="D255" s="4" t="s">
        <v>217</v>
      </c>
      <c r="E255" s="4" t="s">
        <v>487</v>
      </c>
      <c r="F255" s="29">
        <v>0.2</v>
      </c>
    </row>
    <row r="256" spans="1:6" x14ac:dyDescent="0.25">
      <c r="A256" t="s">
        <v>482</v>
      </c>
      <c r="B256" t="s">
        <v>51</v>
      </c>
      <c r="C256" s="4" t="s">
        <v>487</v>
      </c>
      <c r="D256" s="4" t="s">
        <v>218</v>
      </c>
      <c r="E256" s="4" t="s">
        <v>487</v>
      </c>
      <c r="F256" s="29"/>
    </row>
    <row r="257" spans="1:6" x14ac:dyDescent="0.25">
      <c r="A257" t="s">
        <v>482</v>
      </c>
      <c r="B257" t="s">
        <v>51</v>
      </c>
      <c r="C257" s="4" t="s">
        <v>487</v>
      </c>
      <c r="D257" s="4" t="s">
        <v>357</v>
      </c>
      <c r="E257" s="4" t="s">
        <v>487</v>
      </c>
      <c r="F257" s="29"/>
    </row>
    <row r="258" spans="1:6" x14ac:dyDescent="0.25">
      <c r="A258" t="s">
        <v>482</v>
      </c>
      <c r="B258" t="s">
        <v>51</v>
      </c>
      <c r="C258" s="4" t="s">
        <v>487</v>
      </c>
      <c r="D258" s="4" t="s">
        <v>219</v>
      </c>
      <c r="E258" s="4" t="s">
        <v>17</v>
      </c>
      <c r="F258" s="29"/>
    </row>
    <row r="259" spans="1:6" x14ac:dyDescent="0.25">
      <c r="A259" t="s">
        <v>482</v>
      </c>
      <c r="B259" t="s">
        <v>51</v>
      </c>
      <c r="C259" s="4" t="s">
        <v>487</v>
      </c>
      <c r="D259" s="4" t="s">
        <v>221</v>
      </c>
      <c r="E259" s="4" t="s">
        <v>487</v>
      </c>
      <c r="F259" s="29"/>
    </row>
    <row r="260" spans="1:6" x14ac:dyDescent="0.25">
      <c r="A260" t="s">
        <v>482</v>
      </c>
      <c r="B260" t="s">
        <v>51</v>
      </c>
      <c r="C260" s="4">
        <v>4</v>
      </c>
      <c r="D260" s="4" t="s">
        <v>222</v>
      </c>
      <c r="E260" s="4" t="s">
        <v>487</v>
      </c>
      <c r="F260" s="29">
        <v>0.2</v>
      </c>
    </row>
    <row r="261" spans="1:6" x14ac:dyDescent="0.25">
      <c r="A261" t="s">
        <v>482</v>
      </c>
      <c r="B261" t="s">
        <v>51</v>
      </c>
      <c r="C261" s="4" t="s">
        <v>487</v>
      </c>
      <c r="D261" s="4" t="s">
        <v>224</v>
      </c>
      <c r="E261" s="4" t="s">
        <v>487</v>
      </c>
      <c r="F261" s="29"/>
    </row>
    <row r="262" spans="1:6" x14ac:dyDescent="0.25">
      <c r="A262" t="s">
        <v>482</v>
      </c>
      <c r="B262" t="s">
        <v>51</v>
      </c>
      <c r="C262" s="4" t="s">
        <v>487</v>
      </c>
      <c r="D262" s="4" t="s">
        <v>210</v>
      </c>
      <c r="E262" s="4" t="s">
        <v>487</v>
      </c>
      <c r="F262" s="29"/>
    </row>
    <row r="263" spans="1:6" x14ac:dyDescent="0.25">
      <c r="A263" t="s">
        <v>482</v>
      </c>
      <c r="B263" t="s">
        <v>51</v>
      </c>
      <c r="C263" s="4" t="s">
        <v>487</v>
      </c>
      <c r="D263" s="4" t="s">
        <v>223</v>
      </c>
      <c r="E263" s="4" t="s">
        <v>17</v>
      </c>
      <c r="F263" s="29"/>
    </row>
    <row r="264" spans="1:6" x14ac:dyDescent="0.25">
      <c r="A264" t="s">
        <v>482</v>
      </c>
      <c r="B264" t="s">
        <v>51</v>
      </c>
      <c r="C264" s="4" t="s">
        <v>487</v>
      </c>
      <c r="D264" s="4" t="s">
        <v>225</v>
      </c>
      <c r="E264" s="4" t="s">
        <v>487</v>
      </c>
      <c r="F264" s="29"/>
    </row>
    <row r="265" spans="1:6" x14ac:dyDescent="0.25">
      <c r="A265" t="s">
        <v>482</v>
      </c>
      <c r="B265" t="s">
        <v>51</v>
      </c>
      <c r="C265" s="4">
        <v>5</v>
      </c>
      <c r="D265" s="4" t="s">
        <v>250</v>
      </c>
      <c r="E265" s="4" t="s">
        <v>487</v>
      </c>
      <c r="F265" s="29">
        <v>0.2</v>
      </c>
    </row>
    <row r="266" spans="1:6" x14ac:dyDescent="0.25">
      <c r="A266" t="s">
        <v>482</v>
      </c>
      <c r="B266" t="s">
        <v>51</v>
      </c>
      <c r="C266" s="4" t="s">
        <v>487</v>
      </c>
      <c r="D266" s="4" t="s">
        <v>252</v>
      </c>
      <c r="E266" s="4" t="s">
        <v>487</v>
      </c>
      <c r="F266" s="29"/>
    </row>
    <row r="267" spans="1:6" x14ac:dyDescent="0.25">
      <c r="A267" t="s">
        <v>482</v>
      </c>
      <c r="B267" t="s">
        <v>51</v>
      </c>
      <c r="C267" s="4" t="s">
        <v>487</v>
      </c>
      <c r="D267" s="4" t="s">
        <v>253</v>
      </c>
      <c r="E267" s="4" t="s">
        <v>487</v>
      </c>
      <c r="F267" s="29"/>
    </row>
    <row r="268" spans="1:6" x14ac:dyDescent="0.25">
      <c r="A268" t="s">
        <v>482</v>
      </c>
      <c r="B268" t="s">
        <v>51</v>
      </c>
      <c r="C268" s="4" t="s">
        <v>487</v>
      </c>
      <c r="D268" s="4" t="s">
        <v>251</v>
      </c>
      <c r="E268" s="4" t="s">
        <v>17</v>
      </c>
      <c r="F268" s="29"/>
    </row>
    <row r="269" spans="1:6" x14ac:dyDescent="0.25">
      <c r="A269" t="s">
        <v>482</v>
      </c>
      <c r="B269" t="s">
        <v>51</v>
      </c>
      <c r="C269" s="4" t="s">
        <v>487</v>
      </c>
      <c r="D269" s="4" t="s">
        <v>254</v>
      </c>
      <c r="E269" s="4" t="s">
        <v>487</v>
      </c>
      <c r="F269" s="29"/>
    </row>
    <row r="270" spans="1:6" x14ac:dyDescent="0.25">
      <c r="A270" t="s">
        <v>482</v>
      </c>
      <c r="B270" t="s">
        <v>51</v>
      </c>
      <c r="C270" s="4">
        <v>6</v>
      </c>
      <c r="D270" s="4" t="s">
        <v>360</v>
      </c>
      <c r="E270" s="4" t="s">
        <v>487</v>
      </c>
      <c r="F270" s="29">
        <v>0.2</v>
      </c>
    </row>
    <row r="271" spans="1:6" x14ac:dyDescent="0.25">
      <c r="A271" t="s">
        <v>482</v>
      </c>
      <c r="B271" t="s">
        <v>51</v>
      </c>
      <c r="C271" s="4" t="s">
        <v>487</v>
      </c>
      <c r="D271" s="4" t="s">
        <v>358</v>
      </c>
      <c r="E271" s="4" t="s">
        <v>487</v>
      </c>
      <c r="F271" s="29"/>
    </row>
    <row r="272" spans="1:6" x14ac:dyDescent="0.25">
      <c r="A272" t="s">
        <v>482</v>
      </c>
      <c r="B272" t="s">
        <v>51</v>
      </c>
      <c r="C272" s="4" t="s">
        <v>487</v>
      </c>
      <c r="D272" s="4" t="s">
        <v>244</v>
      </c>
      <c r="E272" s="4" t="s">
        <v>487</v>
      </c>
      <c r="F272" s="29"/>
    </row>
    <row r="273" spans="1:6" x14ac:dyDescent="0.25">
      <c r="A273" t="s">
        <v>482</v>
      </c>
      <c r="B273" t="s">
        <v>51</v>
      </c>
      <c r="C273" s="4" t="s">
        <v>487</v>
      </c>
      <c r="D273" s="4" t="s">
        <v>243</v>
      </c>
      <c r="E273" s="4" t="s">
        <v>17</v>
      </c>
      <c r="F273" s="29"/>
    </row>
    <row r="274" spans="1:6" x14ac:dyDescent="0.25">
      <c r="A274" t="s">
        <v>482</v>
      </c>
      <c r="B274" t="s">
        <v>51</v>
      </c>
      <c r="C274" s="4" t="s">
        <v>487</v>
      </c>
      <c r="D274" s="4" t="s">
        <v>246</v>
      </c>
      <c r="E274" s="4" t="s">
        <v>487</v>
      </c>
      <c r="F274" s="29"/>
    </row>
    <row r="275" spans="1:6" x14ac:dyDescent="0.25">
      <c r="A275" t="s">
        <v>482</v>
      </c>
      <c r="B275" t="s">
        <v>51</v>
      </c>
      <c r="C275" s="4">
        <v>7</v>
      </c>
      <c r="D275" s="4" t="s">
        <v>359</v>
      </c>
      <c r="E275" s="4" t="s">
        <v>487</v>
      </c>
      <c r="F275" s="29">
        <v>0.2</v>
      </c>
    </row>
    <row r="276" spans="1:6" x14ac:dyDescent="0.25">
      <c r="A276" t="s">
        <v>482</v>
      </c>
      <c r="B276" t="s">
        <v>51</v>
      </c>
      <c r="C276" s="4" t="s">
        <v>487</v>
      </c>
      <c r="D276" s="4" t="s">
        <v>226</v>
      </c>
      <c r="E276" s="4" t="s">
        <v>487</v>
      </c>
      <c r="F276" s="29"/>
    </row>
    <row r="277" spans="1:6" x14ac:dyDescent="0.25">
      <c r="A277" t="s">
        <v>482</v>
      </c>
      <c r="B277" t="s">
        <v>51</v>
      </c>
      <c r="C277" s="4" t="s">
        <v>487</v>
      </c>
      <c r="D277" s="4" t="s">
        <v>227</v>
      </c>
      <c r="E277" s="4" t="s">
        <v>17</v>
      </c>
      <c r="F277" s="29"/>
    </row>
    <row r="278" spans="1:6" x14ac:dyDescent="0.25">
      <c r="A278" t="s">
        <v>482</v>
      </c>
      <c r="B278" t="s">
        <v>51</v>
      </c>
      <c r="C278" s="4" t="s">
        <v>487</v>
      </c>
      <c r="D278" s="4" t="s">
        <v>228</v>
      </c>
      <c r="E278" s="4" t="s">
        <v>487</v>
      </c>
      <c r="F278" s="29"/>
    </row>
    <row r="279" spans="1:6" x14ac:dyDescent="0.25">
      <c r="A279" t="s">
        <v>482</v>
      </c>
      <c r="B279" t="s">
        <v>51</v>
      </c>
      <c r="C279" s="4" t="s">
        <v>487</v>
      </c>
      <c r="D279" s="4" t="s">
        <v>229</v>
      </c>
      <c r="E279" s="4" t="s">
        <v>487</v>
      </c>
      <c r="F279" s="29"/>
    </row>
    <row r="280" spans="1:6" x14ac:dyDescent="0.25">
      <c r="A280" t="s">
        <v>482</v>
      </c>
      <c r="B280" t="s">
        <v>51</v>
      </c>
      <c r="C280" s="4">
        <v>8</v>
      </c>
      <c r="D280" s="4" t="s">
        <v>361</v>
      </c>
      <c r="E280" s="4" t="s">
        <v>487</v>
      </c>
      <c r="F280" s="29">
        <v>0.2</v>
      </c>
    </row>
    <row r="281" spans="1:6" x14ac:dyDescent="0.25">
      <c r="A281" t="s">
        <v>482</v>
      </c>
      <c r="B281" t="s">
        <v>51</v>
      </c>
      <c r="C281" s="4" t="s">
        <v>487</v>
      </c>
      <c r="D281" s="4" t="s">
        <v>230</v>
      </c>
      <c r="E281" s="4" t="s">
        <v>487</v>
      </c>
      <c r="F281" s="29"/>
    </row>
    <row r="282" spans="1:6" x14ac:dyDescent="0.25">
      <c r="A282" t="s">
        <v>482</v>
      </c>
      <c r="B282" t="s">
        <v>51</v>
      </c>
      <c r="C282" s="4" t="s">
        <v>487</v>
      </c>
      <c r="D282" s="4" t="s">
        <v>239</v>
      </c>
      <c r="E282" s="4" t="s">
        <v>9</v>
      </c>
      <c r="F282" s="29"/>
    </row>
    <row r="283" spans="1:6" x14ac:dyDescent="0.25">
      <c r="A283" t="s">
        <v>482</v>
      </c>
      <c r="B283" t="s">
        <v>51</v>
      </c>
      <c r="C283" s="4" t="s">
        <v>487</v>
      </c>
      <c r="D283" s="4" t="s">
        <v>232</v>
      </c>
      <c r="E283" s="4" t="s">
        <v>487</v>
      </c>
      <c r="F283" s="29"/>
    </row>
    <row r="284" spans="1:6" x14ac:dyDescent="0.25">
      <c r="A284" t="s">
        <v>482</v>
      </c>
      <c r="B284" t="s">
        <v>51</v>
      </c>
      <c r="C284" s="4" t="s">
        <v>487</v>
      </c>
      <c r="D284" s="4" t="s">
        <v>233</v>
      </c>
      <c r="E284" s="4" t="s">
        <v>487</v>
      </c>
      <c r="F284" s="29"/>
    </row>
    <row r="285" spans="1:6" x14ac:dyDescent="0.25">
      <c r="A285" t="s">
        <v>482</v>
      </c>
      <c r="B285" t="s">
        <v>51</v>
      </c>
      <c r="C285" s="4">
        <v>9</v>
      </c>
      <c r="D285" s="4" t="s">
        <v>264</v>
      </c>
      <c r="E285" s="4" t="s">
        <v>487</v>
      </c>
      <c r="F285" s="29">
        <v>0.2</v>
      </c>
    </row>
    <row r="286" spans="1:6" x14ac:dyDescent="0.25">
      <c r="A286" t="s">
        <v>482</v>
      </c>
      <c r="B286" t="s">
        <v>51</v>
      </c>
      <c r="C286" s="4" t="s">
        <v>487</v>
      </c>
      <c r="D286" s="4" t="s">
        <v>266</v>
      </c>
      <c r="E286" s="4" t="s">
        <v>487</v>
      </c>
      <c r="F286" s="29"/>
    </row>
    <row r="287" spans="1:6" x14ac:dyDescent="0.25">
      <c r="A287" t="s">
        <v>482</v>
      </c>
      <c r="B287" t="s">
        <v>51</v>
      </c>
      <c r="C287" s="4" t="s">
        <v>487</v>
      </c>
      <c r="D287" s="4" t="s">
        <v>265</v>
      </c>
      <c r="E287" s="4" t="s">
        <v>9</v>
      </c>
      <c r="F287" s="29"/>
    </row>
    <row r="288" spans="1:6" x14ac:dyDescent="0.25">
      <c r="A288" t="s">
        <v>482</v>
      </c>
      <c r="B288" t="s">
        <v>51</v>
      </c>
      <c r="C288" s="4" t="s">
        <v>487</v>
      </c>
      <c r="D288" s="4" t="s">
        <v>229</v>
      </c>
      <c r="E288" s="4" t="s">
        <v>487</v>
      </c>
      <c r="F288" s="29"/>
    </row>
    <row r="289" spans="1:6" x14ac:dyDescent="0.25">
      <c r="A289" t="s">
        <v>482</v>
      </c>
      <c r="B289" t="s">
        <v>51</v>
      </c>
      <c r="C289" s="4" t="s">
        <v>487</v>
      </c>
      <c r="D289" s="4" t="s">
        <v>245</v>
      </c>
      <c r="E289" s="4" t="s">
        <v>487</v>
      </c>
      <c r="F289" s="29"/>
    </row>
    <row r="290" spans="1:6" x14ac:dyDescent="0.25">
      <c r="A290" t="s">
        <v>482</v>
      </c>
      <c r="B290" t="s">
        <v>51</v>
      </c>
      <c r="C290" s="4">
        <v>10</v>
      </c>
      <c r="D290" s="4" t="s">
        <v>240</v>
      </c>
      <c r="E290" s="4" t="s">
        <v>487</v>
      </c>
      <c r="F290" s="29">
        <v>0.2</v>
      </c>
    </row>
    <row r="291" spans="1:6" x14ac:dyDescent="0.25">
      <c r="A291" t="s">
        <v>482</v>
      </c>
      <c r="B291" t="s">
        <v>51</v>
      </c>
      <c r="C291" s="4" t="s">
        <v>487</v>
      </c>
      <c r="D291" s="4" t="s">
        <v>56</v>
      </c>
      <c r="E291" s="4" t="s">
        <v>487</v>
      </c>
      <c r="F291" s="29"/>
    </row>
    <row r="292" spans="1:6" x14ac:dyDescent="0.25">
      <c r="A292" t="s">
        <v>482</v>
      </c>
      <c r="B292" t="s">
        <v>51</v>
      </c>
      <c r="C292" s="4" t="s">
        <v>487</v>
      </c>
      <c r="D292" s="4" t="s">
        <v>19</v>
      </c>
      <c r="E292" s="4" t="s">
        <v>487</v>
      </c>
      <c r="F292" s="29"/>
    </row>
    <row r="293" spans="1:6" x14ac:dyDescent="0.25">
      <c r="A293" t="s">
        <v>482</v>
      </c>
      <c r="B293" t="s">
        <v>51</v>
      </c>
      <c r="C293" s="4" t="s">
        <v>487</v>
      </c>
      <c r="D293" s="4" t="s">
        <v>241</v>
      </c>
      <c r="E293" s="4" t="s">
        <v>17</v>
      </c>
      <c r="F293" s="29"/>
    </row>
    <row r="294" spans="1:6" x14ac:dyDescent="0.25">
      <c r="A294" t="s">
        <v>482</v>
      </c>
      <c r="B294" t="s">
        <v>51</v>
      </c>
      <c r="C294" s="4" t="s">
        <v>487</v>
      </c>
      <c r="D294" s="4" t="s">
        <v>242</v>
      </c>
      <c r="E294" s="4" t="s">
        <v>487</v>
      </c>
      <c r="F294" s="29"/>
    </row>
    <row r="295" spans="1:6" x14ac:dyDescent="0.25">
      <c r="A295" t="s">
        <v>482</v>
      </c>
      <c r="B295" t="s">
        <v>51</v>
      </c>
      <c r="C295" s="4">
        <v>11</v>
      </c>
      <c r="D295" s="4" t="s">
        <v>362</v>
      </c>
      <c r="E295" s="4" t="s">
        <v>487</v>
      </c>
      <c r="F295" s="29">
        <v>0.2</v>
      </c>
    </row>
    <row r="296" spans="1:6" x14ac:dyDescent="0.25">
      <c r="A296" t="s">
        <v>482</v>
      </c>
      <c r="B296" t="s">
        <v>51</v>
      </c>
      <c r="C296" s="4" t="s">
        <v>487</v>
      </c>
      <c r="D296" s="4" t="s">
        <v>230</v>
      </c>
      <c r="E296" s="4" t="s">
        <v>487</v>
      </c>
      <c r="F296" s="29"/>
    </row>
    <row r="297" spans="1:6" x14ac:dyDescent="0.25">
      <c r="A297" t="s">
        <v>482</v>
      </c>
      <c r="B297" t="s">
        <v>51</v>
      </c>
      <c r="C297" s="4" t="s">
        <v>487</v>
      </c>
      <c r="D297" s="4" t="s">
        <v>231</v>
      </c>
      <c r="E297" s="4" t="s">
        <v>9</v>
      </c>
      <c r="F297" s="29"/>
    </row>
    <row r="298" spans="1:6" x14ac:dyDescent="0.25">
      <c r="A298" t="s">
        <v>482</v>
      </c>
      <c r="B298" t="s">
        <v>51</v>
      </c>
      <c r="C298" s="4" t="s">
        <v>487</v>
      </c>
      <c r="D298" s="4" t="s">
        <v>232</v>
      </c>
      <c r="E298" s="4" t="s">
        <v>487</v>
      </c>
      <c r="F298" s="29"/>
    </row>
    <row r="299" spans="1:6" x14ac:dyDescent="0.25">
      <c r="A299" t="s">
        <v>482</v>
      </c>
      <c r="B299" t="s">
        <v>51</v>
      </c>
      <c r="C299" s="4" t="s">
        <v>487</v>
      </c>
      <c r="D299" s="4" t="s">
        <v>233</v>
      </c>
      <c r="E299" s="4" t="s">
        <v>487</v>
      </c>
      <c r="F299" s="29"/>
    </row>
    <row r="300" spans="1:6" x14ac:dyDescent="0.25">
      <c r="A300" t="s">
        <v>482</v>
      </c>
      <c r="B300" t="s">
        <v>51</v>
      </c>
      <c r="C300" s="4">
        <v>12</v>
      </c>
      <c r="D300" s="4" t="s">
        <v>383</v>
      </c>
      <c r="E300" s="4" t="s">
        <v>487</v>
      </c>
      <c r="F300" s="29">
        <v>0.2</v>
      </c>
    </row>
    <row r="301" spans="1:6" x14ac:dyDescent="0.25">
      <c r="A301" t="s">
        <v>482</v>
      </c>
      <c r="B301" t="s">
        <v>51</v>
      </c>
      <c r="C301" s="4" t="s">
        <v>487</v>
      </c>
      <c r="D301" s="4" t="s">
        <v>262</v>
      </c>
      <c r="E301" s="4" t="s">
        <v>487</v>
      </c>
      <c r="F301" s="29"/>
    </row>
    <row r="302" spans="1:6" x14ac:dyDescent="0.25">
      <c r="A302" t="s">
        <v>482</v>
      </c>
      <c r="B302" t="s">
        <v>51</v>
      </c>
      <c r="C302" s="4" t="s">
        <v>487</v>
      </c>
      <c r="D302" s="4" t="s">
        <v>256</v>
      </c>
      <c r="E302" s="4" t="s">
        <v>9</v>
      </c>
      <c r="F302" s="29"/>
    </row>
    <row r="303" spans="1:6" x14ac:dyDescent="0.25">
      <c r="A303" t="s">
        <v>482</v>
      </c>
      <c r="B303" t="s">
        <v>51</v>
      </c>
      <c r="C303" s="4" t="s">
        <v>487</v>
      </c>
      <c r="D303" s="4" t="s">
        <v>220</v>
      </c>
      <c r="E303" s="4" t="s">
        <v>487</v>
      </c>
      <c r="F303" s="29"/>
    </row>
    <row r="304" spans="1:6" x14ac:dyDescent="0.25">
      <c r="A304" t="s">
        <v>482</v>
      </c>
      <c r="B304" t="s">
        <v>51</v>
      </c>
      <c r="C304" s="4" t="s">
        <v>487</v>
      </c>
      <c r="D304" s="4" t="s">
        <v>263</v>
      </c>
      <c r="E304" s="4" t="s">
        <v>487</v>
      </c>
      <c r="F304" s="29"/>
    </row>
    <row r="305" spans="1:6" x14ac:dyDescent="0.25">
      <c r="A305" t="s">
        <v>482</v>
      </c>
      <c r="B305" t="s">
        <v>51</v>
      </c>
      <c r="C305" s="4">
        <v>13</v>
      </c>
      <c r="D305" s="4" t="s">
        <v>271</v>
      </c>
      <c r="E305" s="4" t="s">
        <v>487</v>
      </c>
      <c r="F305" s="29">
        <v>0.2</v>
      </c>
    </row>
    <row r="306" spans="1:6" x14ac:dyDescent="0.25">
      <c r="A306" t="s">
        <v>482</v>
      </c>
      <c r="B306" t="s">
        <v>51</v>
      </c>
      <c r="C306" s="4" t="s">
        <v>487</v>
      </c>
      <c r="D306" s="4" t="s">
        <v>256</v>
      </c>
      <c r="E306" s="4" t="s">
        <v>487</v>
      </c>
      <c r="F306" s="29"/>
    </row>
    <row r="307" spans="1:6" x14ac:dyDescent="0.25">
      <c r="A307" t="s">
        <v>482</v>
      </c>
      <c r="B307" t="s">
        <v>51</v>
      </c>
      <c r="C307" s="4" t="s">
        <v>487</v>
      </c>
      <c r="D307" s="4" t="s">
        <v>272</v>
      </c>
      <c r="E307" s="4" t="s">
        <v>9</v>
      </c>
      <c r="F307" s="29"/>
    </row>
    <row r="308" spans="1:6" x14ac:dyDescent="0.25">
      <c r="A308" t="s">
        <v>482</v>
      </c>
      <c r="B308" t="s">
        <v>51</v>
      </c>
      <c r="C308" s="4" t="s">
        <v>487</v>
      </c>
      <c r="D308" s="4" t="s">
        <v>248</v>
      </c>
      <c r="E308" s="4" t="s">
        <v>487</v>
      </c>
      <c r="F308" s="29"/>
    </row>
    <row r="309" spans="1:6" x14ac:dyDescent="0.25">
      <c r="A309" t="s">
        <v>482</v>
      </c>
      <c r="B309" t="s">
        <v>51</v>
      </c>
      <c r="C309" s="4" t="s">
        <v>487</v>
      </c>
      <c r="D309" s="4" t="s">
        <v>268</v>
      </c>
      <c r="E309" s="4" t="s">
        <v>487</v>
      </c>
      <c r="F309" s="29"/>
    </row>
    <row r="310" spans="1:6" x14ac:dyDescent="0.25">
      <c r="A310" t="s">
        <v>482</v>
      </c>
      <c r="B310" t="s">
        <v>51</v>
      </c>
      <c r="C310" s="4">
        <v>14</v>
      </c>
      <c r="D310" s="4" t="s">
        <v>247</v>
      </c>
      <c r="E310" s="4" t="s">
        <v>487</v>
      </c>
      <c r="F310" s="29">
        <v>0.2</v>
      </c>
    </row>
    <row r="311" spans="1:6" x14ac:dyDescent="0.25">
      <c r="A311" t="s">
        <v>482</v>
      </c>
      <c r="B311" t="s">
        <v>51</v>
      </c>
      <c r="C311" s="4" t="s">
        <v>487</v>
      </c>
      <c r="D311" s="4" t="s">
        <v>248</v>
      </c>
      <c r="E311" s="4" t="s">
        <v>487</v>
      </c>
      <c r="F311" s="29"/>
    </row>
    <row r="312" spans="1:6" x14ac:dyDescent="0.25">
      <c r="A312" t="s">
        <v>482</v>
      </c>
      <c r="B312" t="s">
        <v>51</v>
      </c>
      <c r="C312" s="4" t="s">
        <v>487</v>
      </c>
      <c r="D312" s="4" t="s">
        <v>249</v>
      </c>
      <c r="E312" s="4" t="s">
        <v>9</v>
      </c>
      <c r="F312" s="29"/>
    </row>
    <row r="313" spans="1:6" x14ac:dyDescent="0.25">
      <c r="A313" t="s">
        <v>482</v>
      </c>
      <c r="B313" t="s">
        <v>51</v>
      </c>
      <c r="C313" s="4" t="s">
        <v>487</v>
      </c>
      <c r="D313" s="4" t="s">
        <v>220</v>
      </c>
      <c r="E313" s="4" t="s">
        <v>487</v>
      </c>
      <c r="F313" s="29"/>
    </row>
    <row r="314" spans="1:6" x14ac:dyDescent="0.25">
      <c r="A314" t="s">
        <v>482</v>
      </c>
      <c r="B314" t="s">
        <v>51</v>
      </c>
      <c r="C314" s="4" t="s">
        <v>487</v>
      </c>
      <c r="D314" s="4" t="s">
        <v>211</v>
      </c>
      <c r="E314" s="4" t="s">
        <v>487</v>
      </c>
      <c r="F314" s="29"/>
    </row>
    <row r="315" spans="1:6" x14ac:dyDescent="0.25">
      <c r="A315" t="s">
        <v>482</v>
      </c>
      <c r="B315" t="s">
        <v>51</v>
      </c>
      <c r="C315" s="4">
        <v>15</v>
      </c>
      <c r="D315" s="4" t="s">
        <v>417</v>
      </c>
      <c r="E315" s="4" t="s">
        <v>487</v>
      </c>
      <c r="F315" s="29">
        <v>0.2</v>
      </c>
    </row>
    <row r="316" spans="1:6" x14ac:dyDescent="0.25">
      <c r="A316" t="s">
        <v>482</v>
      </c>
      <c r="B316" t="s">
        <v>51</v>
      </c>
      <c r="C316" s="4" t="s">
        <v>487</v>
      </c>
      <c r="D316" s="4" t="s">
        <v>418</v>
      </c>
      <c r="E316" s="4" t="s">
        <v>487</v>
      </c>
      <c r="F316" s="29"/>
    </row>
    <row r="317" spans="1:6" x14ac:dyDescent="0.25">
      <c r="A317" t="s">
        <v>482</v>
      </c>
      <c r="B317" t="s">
        <v>51</v>
      </c>
      <c r="C317" s="4" t="s">
        <v>487</v>
      </c>
      <c r="D317" s="4" t="s">
        <v>419</v>
      </c>
      <c r="E317" s="4" t="s">
        <v>9</v>
      </c>
      <c r="F317" s="29"/>
    </row>
    <row r="318" spans="1:6" x14ac:dyDescent="0.25">
      <c r="A318" t="s">
        <v>482</v>
      </c>
      <c r="B318" t="s">
        <v>51</v>
      </c>
      <c r="C318" s="4" t="s">
        <v>487</v>
      </c>
      <c r="D318" s="4" t="s">
        <v>420</v>
      </c>
      <c r="E318" s="4" t="s">
        <v>487</v>
      </c>
      <c r="F318" s="29"/>
    </row>
    <row r="319" spans="1:6" x14ac:dyDescent="0.25">
      <c r="A319" t="s">
        <v>482</v>
      </c>
      <c r="B319" t="s">
        <v>51</v>
      </c>
      <c r="C319" s="4" t="s">
        <v>487</v>
      </c>
      <c r="D319" s="4" t="s">
        <v>421</v>
      </c>
      <c r="E319" s="4" t="s">
        <v>487</v>
      </c>
      <c r="F319" s="29"/>
    </row>
    <row r="320" spans="1:6" x14ac:dyDescent="0.25">
      <c r="A320" t="s">
        <v>482</v>
      </c>
      <c r="B320" t="s">
        <v>51</v>
      </c>
      <c r="C320" s="4">
        <v>16</v>
      </c>
      <c r="D320" s="4" t="s">
        <v>446</v>
      </c>
      <c r="E320" s="4" t="s">
        <v>487</v>
      </c>
      <c r="F320" s="29">
        <v>0.2</v>
      </c>
    </row>
    <row r="321" spans="1:6" x14ac:dyDescent="0.25">
      <c r="A321" t="s">
        <v>482</v>
      </c>
      <c r="B321" t="s">
        <v>51</v>
      </c>
      <c r="C321" s="4" t="s">
        <v>487</v>
      </c>
      <c r="D321" s="4" t="s">
        <v>449</v>
      </c>
      <c r="E321" s="4" t="s">
        <v>487</v>
      </c>
      <c r="F321" s="29"/>
    </row>
    <row r="322" spans="1:6" x14ac:dyDescent="0.25">
      <c r="A322" t="s">
        <v>482</v>
      </c>
      <c r="B322" t="s">
        <v>51</v>
      </c>
      <c r="C322" s="4" t="s">
        <v>487</v>
      </c>
      <c r="D322" s="4" t="s">
        <v>450</v>
      </c>
      <c r="E322" s="4" t="s">
        <v>487</v>
      </c>
      <c r="F322" s="29"/>
    </row>
    <row r="323" spans="1:6" x14ac:dyDescent="0.25">
      <c r="A323" t="s">
        <v>482</v>
      </c>
      <c r="B323" t="s">
        <v>51</v>
      </c>
      <c r="C323" s="4" t="s">
        <v>487</v>
      </c>
      <c r="D323" s="4" t="s">
        <v>447</v>
      </c>
      <c r="E323" s="4" t="s">
        <v>17</v>
      </c>
      <c r="F323" s="29"/>
    </row>
    <row r="324" spans="1:6" x14ac:dyDescent="0.25">
      <c r="A324" t="s">
        <v>482</v>
      </c>
      <c r="B324" t="s">
        <v>51</v>
      </c>
      <c r="C324" s="4" t="s">
        <v>487</v>
      </c>
      <c r="D324" s="4" t="s">
        <v>448</v>
      </c>
      <c r="E324" s="4" t="s">
        <v>487</v>
      </c>
      <c r="F324" s="29"/>
    </row>
    <row r="325" spans="1:6" x14ac:dyDescent="0.25">
      <c r="A325" t="s">
        <v>482</v>
      </c>
      <c r="B325" t="s">
        <v>51</v>
      </c>
      <c r="C325" s="4">
        <v>17</v>
      </c>
      <c r="D325" s="4" t="s">
        <v>422</v>
      </c>
      <c r="E325" s="4" t="s">
        <v>487</v>
      </c>
      <c r="F325" s="29">
        <v>0.2</v>
      </c>
    </row>
    <row r="326" spans="1:6" x14ac:dyDescent="0.25">
      <c r="A326" t="s">
        <v>482</v>
      </c>
      <c r="B326" t="s">
        <v>51</v>
      </c>
      <c r="C326" s="4" t="s">
        <v>487</v>
      </c>
      <c r="D326" s="4" t="s">
        <v>423</v>
      </c>
      <c r="E326" s="4" t="s">
        <v>487</v>
      </c>
      <c r="F326" s="29"/>
    </row>
    <row r="327" spans="1:6" x14ac:dyDescent="0.25">
      <c r="A327" t="s">
        <v>482</v>
      </c>
      <c r="B327" t="s">
        <v>51</v>
      </c>
      <c r="C327" s="4" t="s">
        <v>487</v>
      </c>
      <c r="D327" s="4" t="s">
        <v>425</v>
      </c>
      <c r="E327" s="4" t="s">
        <v>487</v>
      </c>
      <c r="F327" s="29"/>
    </row>
    <row r="328" spans="1:6" x14ac:dyDescent="0.25">
      <c r="A328" t="s">
        <v>482</v>
      </c>
      <c r="B328" t="s">
        <v>51</v>
      </c>
      <c r="C328" s="4" t="s">
        <v>487</v>
      </c>
      <c r="D328" s="4" t="s">
        <v>426</v>
      </c>
      <c r="E328" s="4" t="s">
        <v>487</v>
      </c>
      <c r="F328" s="29"/>
    </row>
    <row r="329" spans="1:6" x14ac:dyDescent="0.25">
      <c r="A329" t="s">
        <v>482</v>
      </c>
      <c r="B329" t="s">
        <v>51</v>
      </c>
      <c r="C329" s="4" t="s">
        <v>487</v>
      </c>
      <c r="D329" s="4" t="s">
        <v>424</v>
      </c>
      <c r="E329" s="4" t="s">
        <v>67</v>
      </c>
      <c r="F329" s="29"/>
    </row>
    <row r="330" spans="1:6" x14ac:dyDescent="0.25">
      <c r="A330" t="s">
        <v>482</v>
      </c>
      <c r="B330" t="s">
        <v>51</v>
      </c>
      <c r="C330" s="4">
        <v>18</v>
      </c>
      <c r="D330" s="4" t="s">
        <v>466</v>
      </c>
      <c r="E330" s="4" t="s">
        <v>487</v>
      </c>
      <c r="F330" s="29">
        <v>0.2</v>
      </c>
    </row>
    <row r="331" spans="1:6" x14ac:dyDescent="0.25">
      <c r="A331" t="s">
        <v>482</v>
      </c>
      <c r="B331" t="s">
        <v>51</v>
      </c>
      <c r="C331" s="4" t="s">
        <v>487</v>
      </c>
      <c r="D331" s="4" t="s">
        <v>463</v>
      </c>
      <c r="E331" s="4" t="s">
        <v>487</v>
      </c>
      <c r="F331" s="29"/>
    </row>
    <row r="332" spans="1:6" x14ac:dyDescent="0.25">
      <c r="A332" t="s">
        <v>482</v>
      </c>
      <c r="B332" t="s">
        <v>51</v>
      </c>
      <c r="C332" s="4" t="s">
        <v>487</v>
      </c>
      <c r="D332" s="4" t="s">
        <v>462</v>
      </c>
      <c r="E332" s="4" t="s">
        <v>487</v>
      </c>
      <c r="F332" s="29"/>
    </row>
    <row r="333" spans="1:6" x14ac:dyDescent="0.25">
      <c r="A333" t="s">
        <v>482</v>
      </c>
      <c r="B333" t="s">
        <v>51</v>
      </c>
      <c r="C333" s="4" t="s">
        <v>487</v>
      </c>
      <c r="D333" s="4" t="s">
        <v>467</v>
      </c>
      <c r="E333" s="4" t="s">
        <v>17</v>
      </c>
      <c r="F333" s="29"/>
    </row>
    <row r="334" spans="1:6" x14ac:dyDescent="0.25">
      <c r="A334" t="s">
        <v>482</v>
      </c>
      <c r="B334" t="s">
        <v>51</v>
      </c>
      <c r="C334" s="4" t="s">
        <v>487</v>
      </c>
      <c r="D334" s="4" t="s">
        <v>468</v>
      </c>
      <c r="E334" s="4" t="s">
        <v>487</v>
      </c>
      <c r="F334" s="29"/>
    </row>
    <row r="335" spans="1:6" x14ac:dyDescent="0.25">
      <c r="A335" t="s">
        <v>482</v>
      </c>
      <c r="B335" t="s">
        <v>51</v>
      </c>
      <c r="C335" s="4">
        <v>19</v>
      </c>
      <c r="D335" s="4" t="s">
        <v>443</v>
      </c>
      <c r="E335" s="4" t="s">
        <v>487</v>
      </c>
      <c r="F335" s="29">
        <v>0.2</v>
      </c>
    </row>
    <row r="336" spans="1:6" x14ac:dyDescent="0.25">
      <c r="A336" t="s">
        <v>482</v>
      </c>
      <c r="B336" t="s">
        <v>51</v>
      </c>
      <c r="C336" s="4" t="s">
        <v>487</v>
      </c>
      <c r="D336" s="4" t="s">
        <v>424</v>
      </c>
      <c r="E336" s="4" t="s">
        <v>487</v>
      </c>
      <c r="F336" s="29"/>
    </row>
    <row r="337" spans="1:6" x14ac:dyDescent="0.25">
      <c r="A337" t="s">
        <v>482</v>
      </c>
      <c r="B337" t="s">
        <v>51</v>
      </c>
      <c r="C337" s="4" t="s">
        <v>487</v>
      </c>
      <c r="D337" s="4" t="s">
        <v>444</v>
      </c>
      <c r="E337" s="4" t="s">
        <v>9</v>
      </c>
      <c r="F337" s="29"/>
    </row>
    <row r="338" spans="1:6" x14ac:dyDescent="0.25">
      <c r="A338" t="s">
        <v>482</v>
      </c>
      <c r="B338" t="s">
        <v>51</v>
      </c>
      <c r="C338" s="4" t="s">
        <v>487</v>
      </c>
      <c r="D338" s="4" t="s">
        <v>426</v>
      </c>
      <c r="E338" s="4" t="s">
        <v>487</v>
      </c>
      <c r="F338" s="29"/>
    </row>
    <row r="339" spans="1:6" x14ac:dyDescent="0.25">
      <c r="A339" t="s">
        <v>482</v>
      </c>
      <c r="B339" t="s">
        <v>51</v>
      </c>
      <c r="C339" s="4" t="s">
        <v>487</v>
      </c>
      <c r="D339" s="4" t="s">
        <v>445</v>
      </c>
      <c r="E339" s="4" t="s">
        <v>487</v>
      </c>
      <c r="F339" s="29"/>
    </row>
    <row r="340" spans="1:6" x14ac:dyDescent="0.25">
      <c r="A340" t="s">
        <v>482</v>
      </c>
      <c r="B340" t="s">
        <v>51</v>
      </c>
      <c r="C340" s="4">
        <v>20</v>
      </c>
      <c r="D340" s="4" t="s">
        <v>472</v>
      </c>
      <c r="E340" s="4" t="s">
        <v>487</v>
      </c>
      <c r="F340" s="29">
        <v>0.2</v>
      </c>
    </row>
    <row r="341" spans="1:6" x14ac:dyDescent="0.25">
      <c r="A341" t="s">
        <v>482</v>
      </c>
      <c r="B341" t="s">
        <v>51</v>
      </c>
      <c r="C341" s="4" t="s">
        <v>487</v>
      </c>
      <c r="D341" s="4" t="s">
        <v>473</v>
      </c>
      <c r="E341" s="4" t="s">
        <v>487</v>
      </c>
      <c r="F341" s="29"/>
    </row>
    <row r="342" spans="1:6" x14ac:dyDescent="0.25">
      <c r="A342" t="s">
        <v>482</v>
      </c>
      <c r="B342" t="s">
        <v>51</v>
      </c>
      <c r="C342" s="4" t="s">
        <v>487</v>
      </c>
      <c r="D342" s="4" t="s">
        <v>474</v>
      </c>
      <c r="E342" s="4" t="s">
        <v>487</v>
      </c>
      <c r="F342" s="29"/>
    </row>
    <row r="343" spans="1:6" x14ac:dyDescent="0.25">
      <c r="A343" t="s">
        <v>482</v>
      </c>
      <c r="B343" t="s">
        <v>51</v>
      </c>
      <c r="C343" s="4" t="s">
        <v>487</v>
      </c>
      <c r="D343" s="4" t="s">
        <v>475</v>
      </c>
      <c r="E343" s="4" t="s">
        <v>17</v>
      </c>
      <c r="F343" s="29"/>
    </row>
    <row r="344" spans="1:6" x14ac:dyDescent="0.25">
      <c r="A344" t="s">
        <v>482</v>
      </c>
      <c r="B344" t="s">
        <v>51</v>
      </c>
      <c r="C344" s="4" t="s">
        <v>487</v>
      </c>
      <c r="D344" s="4" t="s">
        <v>476</v>
      </c>
      <c r="E344" s="4" t="s">
        <v>487</v>
      </c>
      <c r="F344" s="29"/>
    </row>
    <row r="345" spans="1:6" x14ac:dyDescent="0.25">
      <c r="A345" t="s">
        <v>482</v>
      </c>
      <c r="B345" t="s">
        <v>51</v>
      </c>
      <c r="C345" s="4">
        <v>21</v>
      </c>
      <c r="D345" s="4" t="s">
        <v>431</v>
      </c>
      <c r="E345" s="4" t="s">
        <v>487</v>
      </c>
      <c r="F345" s="29">
        <v>0.2</v>
      </c>
    </row>
    <row r="346" spans="1:6" x14ac:dyDescent="0.25">
      <c r="A346" t="s">
        <v>482</v>
      </c>
      <c r="B346" t="s">
        <v>51</v>
      </c>
      <c r="C346" s="4" t="s">
        <v>487</v>
      </c>
      <c r="D346" s="4" t="s">
        <v>432</v>
      </c>
      <c r="E346" s="4" t="s">
        <v>36</v>
      </c>
      <c r="F346" s="29"/>
    </row>
    <row r="347" spans="1:6" x14ac:dyDescent="0.25">
      <c r="A347" t="s">
        <v>482</v>
      </c>
      <c r="B347" t="s">
        <v>51</v>
      </c>
      <c r="C347" s="4" t="s">
        <v>487</v>
      </c>
      <c r="D347" s="4" t="s">
        <v>433</v>
      </c>
      <c r="E347" s="4" t="s">
        <v>487</v>
      </c>
      <c r="F347" s="29"/>
    </row>
    <row r="348" spans="1:6" x14ac:dyDescent="0.25">
      <c r="A348" t="s">
        <v>482</v>
      </c>
      <c r="B348" t="s">
        <v>51</v>
      </c>
      <c r="C348" s="4" t="s">
        <v>487</v>
      </c>
      <c r="D348" s="4" t="s">
        <v>19</v>
      </c>
      <c r="E348" s="4" t="s">
        <v>487</v>
      </c>
      <c r="F348" s="29"/>
    </row>
    <row r="349" spans="1:6" x14ac:dyDescent="0.25">
      <c r="A349" t="s">
        <v>482</v>
      </c>
      <c r="B349" t="s">
        <v>51</v>
      </c>
      <c r="C349" s="4" t="s">
        <v>487</v>
      </c>
      <c r="D349" s="4" t="s">
        <v>312</v>
      </c>
      <c r="E349" s="4" t="s">
        <v>487</v>
      </c>
      <c r="F349" s="29"/>
    </row>
    <row r="350" spans="1:6" x14ac:dyDescent="0.25">
      <c r="A350" t="s">
        <v>482</v>
      </c>
      <c r="B350" t="s">
        <v>51</v>
      </c>
      <c r="C350" s="4">
        <v>22</v>
      </c>
      <c r="D350" s="4" t="s">
        <v>434</v>
      </c>
      <c r="E350" s="4" t="s">
        <v>487</v>
      </c>
      <c r="F350" s="29">
        <v>0.2</v>
      </c>
    </row>
    <row r="351" spans="1:6" x14ac:dyDescent="0.25">
      <c r="A351" t="s">
        <v>482</v>
      </c>
      <c r="B351" t="s">
        <v>51</v>
      </c>
      <c r="C351" s="4" t="s">
        <v>487</v>
      </c>
      <c r="D351" s="4" t="s">
        <v>435</v>
      </c>
      <c r="E351" s="4" t="s">
        <v>36</v>
      </c>
      <c r="F351" s="29"/>
    </row>
    <row r="352" spans="1:6" x14ac:dyDescent="0.25">
      <c r="A352" t="s">
        <v>482</v>
      </c>
      <c r="B352" t="s">
        <v>51</v>
      </c>
      <c r="C352" s="4" t="s">
        <v>487</v>
      </c>
      <c r="D352" s="4" t="s">
        <v>436</v>
      </c>
      <c r="E352" s="4" t="s">
        <v>487</v>
      </c>
      <c r="F352" s="29"/>
    </row>
    <row r="353" spans="1:6" x14ac:dyDescent="0.25">
      <c r="A353" t="s">
        <v>482</v>
      </c>
      <c r="B353" t="s">
        <v>51</v>
      </c>
      <c r="C353" s="4" t="s">
        <v>487</v>
      </c>
      <c r="D353" s="4" t="s">
        <v>437</v>
      </c>
      <c r="E353" s="4" t="s">
        <v>487</v>
      </c>
      <c r="F353" s="29"/>
    </row>
    <row r="354" spans="1:6" x14ac:dyDescent="0.25">
      <c r="A354" t="s">
        <v>482</v>
      </c>
      <c r="B354" t="s">
        <v>51</v>
      </c>
      <c r="C354" s="4" t="s">
        <v>487</v>
      </c>
      <c r="D354" s="4" t="s">
        <v>438</v>
      </c>
      <c r="E354" s="4" t="s">
        <v>487</v>
      </c>
      <c r="F354" s="29"/>
    </row>
    <row r="355" spans="1:6" x14ac:dyDescent="0.25">
      <c r="A355" t="s">
        <v>482</v>
      </c>
      <c r="B355" t="s">
        <v>51</v>
      </c>
      <c r="C355" s="4">
        <v>23</v>
      </c>
      <c r="D355" s="4" t="s">
        <v>453</v>
      </c>
      <c r="E355" s="4" t="s">
        <v>487</v>
      </c>
      <c r="F355" s="29">
        <v>0.2</v>
      </c>
    </row>
    <row r="356" spans="1:6" x14ac:dyDescent="0.25">
      <c r="A356" t="s">
        <v>482</v>
      </c>
      <c r="B356" t="s">
        <v>51</v>
      </c>
      <c r="C356" s="4" t="s">
        <v>487</v>
      </c>
      <c r="D356" s="4" t="s">
        <v>454</v>
      </c>
      <c r="E356" s="4" t="s">
        <v>487</v>
      </c>
      <c r="F356" s="29"/>
    </row>
    <row r="357" spans="1:6" x14ac:dyDescent="0.25">
      <c r="A357" t="s">
        <v>482</v>
      </c>
      <c r="B357" t="s">
        <v>51</v>
      </c>
      <c r="C357" s="4" t="s">
        <v>487</v>
      </c>
      <c r="D357" s="4" t="s">
        <v>455</v>
      </c>
      <c r="E357" s="4" t="s">
        <v>9</v>
      </c>
      <c r="F357" s="29"/>
    </row>
    <row r="358" spans="1:6" x14ac:dyDescent="0.25">
      <c r="A358" t="s">
        <v>482</v>
      </c>
      <c r="B358" t="s">
        <v>51</v>
      </c>
      <c r="C358" s="4" t="s">
        <v>487</v>
      </c>
      <c r="D358" s="4" t="s">
        <v>146</v>
      </c>
      <c r="E358" s="4" t="s">
        <v>487</v>
      </c>
      <c r="F358" s="29"/>
    </row>
    <row r="359" spans="1:6" x14ac:dyDescent="0.25">
      <c r="A359" t="s">
        <v>482</v>
      </c>
      <c r="B359" t="s">
        <v>51</v>
      </c>
      <c r="C359" s="4" t="s">
        <v>487</v>
      </c>
      <c r="D359" s="4" t="s">
        <v>151</v>
      </c>
      <c r="E359" s="4" t="s">
        <v>487</v>
      </c>
      <c r="F359" s="29"/>
    </row>
    <row r="360" spans="1:6" x14ac:dyDescent="0.25">
      <c r="A360" t="s">
        <v>482</v>
      </c>
      <c r="B360" t="s">
        <v>51</v>
      </c>
      <c r="C360" s="4">
        <v>24</v>
      </c>
      <c r="D360" s="4" t="s">
        <v>427</v>
      </c>
      <c r="E360" s="4" t="s">
        <v>487</v>
      </c>
      <c r="F360" s="29">
        <v>0.2</v>
      </c>
    </row>
    <row r="361" spans="1:6" x14ac:dyDescent="0.25">
      <c r="A361" t="s">
        <v>482</v>
      </c>
      <c r="B361" t="s">
        <v>51</v>
      </c>
      <c r="C361" s="4" t="s">
        <v>487</v>
      </c>
      <c r="D361" s="4" t="s">
        <v>428</v>
      </c>
      <c r="E361" s="4" t="s">
        <v>36</v>
      </c>
      <c r="F361" s="29"/>
    </row>
    <row r="362" spans="1:6" x14ac:dyDescent="0.25">
      <c r="A362" t="s">
        <v>482</v>
      </c>
      <c r="B362" t="s">
        <v>51</v>
      </c>
      <c r="C362" s="4" t="s">
        <v>487</v>
      </c>
      <c r="D362" s="4" t="s">
        <v>229</v>
      </c>
      <c r="E362" s="4" t="s">
        <v>487</v>
      </c>
      <c r="F362" s="29"/>
    </row>
    <row r="363" spans="1:6" x14ac:dyDescent="0.25">
      <c r="A363" t="s">
        <v>482</v>
      </c>
      <c r="B363" t="s">
        <v>51</v>
      </c>
      <c r="C363" s="4" t="s">
        <v>487</v>
      </c>
      <c r="D363" s="4" t="s">
        <v>429</v>
      </c>
      <c r="E363" s="4" t="s">
        <v>487</v>
      </c>
      <c r="F363" s="29"/>
    </row>
    <row r="364" spans="1:6" x14ac:dyDescent="0.25">
      <c r="A364" t="s">
        <v>482</v>
      </c>
      <c r="B364" t="s">
        <v>51</v>
      </c>
      <c r="C364" s="4" t="s">
        <v>487</v>
      </c>
      <c r="D364" s="4" t="s">
        <v>430</v>
      </c>
      <c r="E364" s="4" t="s">
        <v>487</v>
      </c>
      <c r="F364" s="29"/>
    </row>
    <row r="365" spans="1:6" x14ac:dyDescent="0.25">
      <c r="A365" t="s">
        <v>482</v>
      </c>
      <c r="B365" t="s">
        <v>51</v>
      </c>
      <c r="C365" s="4">
        <v>25</v>
      </c>
      <c r="D365" s="4" t="s">
        <v>439</v>
      </c>
      <c r="E365" s="4" t="s">
        <v>487</v>
      </c>
      <c r="F365" s="29">
        <v>0.2</v>
      </c>
    </row>
    <row r="366" spans="1:6" x14ac:dyDescent="0.25">
      <c r="A366" t="s">
        <v>482</v>
      </c>
      <c r="B366" t="s">
        <v>51</v>
      </c>
      <c r="C366" s="4" t="s">
        <v>487</v>
      </c>
      <c r="D366" s="4" t="s">
        <v>441</v>
      </c>
      <c r="E366" s="4" t="s">
        <v>487</v>
      </c>
      <c r="F366" s="29"/>
    </row>
    <row r="367" spans="1:6" x14ac:dyDescent="0.25">
      <c r="A367" t="s">
        <v>482</v>
      </c>
      <c r="B367" t="s">
        <v>51</v>
      </c>
      <c r="C367" s="4" t="s">
        <v>487</v>
      </c>
      <c r="D367" s="4" t="s">
        <v>442</v>
      </c>
      <c r="E367" s="4" t="s">
        <v>487</v>
      </c>
      <c r="F367" s="29"/>
    </row>
    <row r="368" spans="1:6" x14ac:dyDescent="0.25">
      <c r="A368" t="s">
        <v>482</v>
      </c>
      <c r="B368" t="s">
        <v>51</v>
      </c>
      <c r="C368" s="4" t="s">
        <v>487</v>
      </c>
      <c r="D368" s="4" t="s">
        <v>151</v>
      </c>
      <c r="E368" s="4" t="s">
        <v>487</v>
      </c>
      <c r="F368" s="29"/>
    </row>
    <row r="369" spans="1:6" x14ac:dyDescent="0.25">
      <c r="A369" t="s">
        <v>482</v>
      </c>
      <c r="B369" t="s">
        <v>51</v>
      </c>
      <c r="C369" s="4" t="s">
        <v>487</v>
      </c>
      <c r="D369" s="4" t="s">
        <v>440</v>
      </c>
      <c r="E369" s="4" t="s">
        <v>67</v>
      </c>
      <c r="F369" s="29"/>
    </row>
    <row r="370" spans="1:6" x14ac:dyDescent="0.25">
      <c r="A370" t="s">
        <v>482</v>
      </c>
      <c r="B370" t="s">
        <v>51</v>
      </c>
      <c r="C370" s="4">
        <v>26</v>
      </c>
      <c r="D370" s="4" t="s">
        <v>469</v>
      </c>
      <c r="E370" s="4" t="s">
        <v>487</v>
      </c>
      <c r="F370" s="29">
        <v>0.2</v>
      </c>
    </row>
    <row r="371" spans="1:6" x14ac:dyDescent="0.25">
      <c r="A371" t="s">
        <v>482</v>
      </c>
      <c r="B371" t="s">
        <v>51</v>
      </c>
      <c r="C371" s="4" t="s">
        <v>487</v>
      </c>
      <c r="D371" s="4" t="s">
        <v>470</v>
      </c>
      <c r="E371" s="4" t="s">
        <v>487</v>
      </c>
      <c r="F371" s="29"/>
    </row>
    <row r="372" spans="1:6" x14ac:dyDescent="0.25">
      <c r="A372" t="s">
        <v>482</v>
      </c>
      <c r="B372" t="s">
        <v>51</v>
      </c>
      <c r="C372" s="4" t="s">
        <v>487</v>
      </c>
      <c r="D372" s="4" t="s">
        <v>447</v>
      </c>
      <c r="E372" s="4" t="s">
        <v>487</v>
      </c>
      <c r="F372" s="29"/>
    </row>
    <row r="373" spans="1:6" x14ac:dyDescent="0.25">
      <c r="A373" t="s">
        <v>482</v>
      </c>
      <c r="B373" t="s">
        <v>51</v>
      </c>
      <c r="C373" s="4" t="s">
        <v>487</v>
      </c>
      <c r="D373" s="4" t="s">
        <v>239</v>
      </c>
      <c r="E373" s="4" t="s">
        <v>9</v>
      </c>
      <c r="F373" s="29"/>
    </row>
    <row r="374" spans="1:6" x14ac:dyDescent="0.25">
      <c r="A374" t="s">
        <v>482</v>
      </c>
      <c r="B374" t="s">
        <v>51</v>
      </c>
      <c r="C374" s="4" t="s">
        <v>487</v>
      </c>
      <c r="D374" s="4" t="s">
        <v>471</v>
      </c>
      <c r="E374" s="4" t="s">
        <v>487</v>
      </c>
      <c r="F374" s="29"/>
    </row>
    <row r="375" spans="1:6" x14ac:dyDescent="0.25">
      <c r="A375" t="s">
        <v>482</v>
      </c>
      <c r="B375" t="s">
        <v>51</v>
      </c>
      <c r="C375" s="4">
        <v>27</v>
      </c>
      <c r="D375" s="4" t="s">
        <v>451</v>
      </c>
      <c r="E375" s="4" t="s">
        <v>487</v>
      </c>
      <c r="F375" s="29">
        <v>0.2</v>
      </c>
    </row>
    <row r="376" spans="1:6" x14ac:dyDescent="0.25">
      <c r="A376" t="s">
        <v>482</v>
      </c>
      <c r="B376" t="s">
        <v>51</v>
      </c>
      <c r="C376" s="4" t="s">
        <v>487</v>
      </c>
      <c r="D376" s="4" t="s">
        <v>444</v>
      </c>
      <c r="E376" s="4" t="s">
        <v>487</v>
      </c>
      <c r="F376" s="29"/>
    </row>
    <row r="377" spans="1:6" x14ac:dyDescent="0.25">
      <c r="A377" t="s">
        <v>482</v>
      </c>
      <c r="B377" t="s">
        <v>51</v>
      </c>
      <c r="C377" s="4" t="s">
        <v>487</v>
      </c>
      <c r="D377" s="4" t="s">
        <v>445</v>
      </c>
      <c r="E377" s="4" t="s">
        <v>487</v>
      </c>
      <c r="F377" s="29"/>
    </row>
    <row r="378" spans="1:6" x14ac:dyDescent="0.25">
      <c r="A378" t="s">
        <v>482</v>
      </c>
      <c r="B378" t="s">
        <v>51</v>
      </c>
      <c r="C378" s="4" t="s">
        <v>487</v>
      </c>
      <c r="D378" s="4" t="s">
        <v>425</v>
      </c>
      <c r="E378" s="4" t="s">
        <v>17</v>
      </c>
      <c r="F378" s="29"/>
    </row>
    <row r="379" spans="1:6" x14ac:dyDescent="0.25">
      <c r="A379" t="s">
        <v>482</v>
      </c>
      <c r="B379" t="s">
        <v>51</v>
      </c>
      <c r="C379" s="4" t="s">
        <v>487</v>
      </c>
      <c r="D379" s="4" t="s">
        <v>452</v>
      </c>
      <c r="E379" s="4" t="s">
        <v>487</v>
      </c>
      <c r="F379" s="29"/>
    </row>
    <row r="380" spans="1:6" x14ac:dyDescent="0.25">
      <c r="A380" t="s">
        <v>482</v>
      </c>
      <c r="B380" t="s">
        <v>51</v>
      </c>
      <c r="C380" s="4">
        <v>28</v>
      </c>
      <c r="D380" s="4" t="s">
        <v>461</v>
      </c>
      <c r="E380" s="4" t="s">
        <v>487</v>
      </c>
      <c r="F380" s="29">
        <v>0.2</v>
      </c>
    </row>
    <row r="381" spans="1:6" x14ac:dyDescent="0.25">
      <c r="A381" t="s">
        <v>482</v>
      </c>
      <c r="B381" t="s">
        <v>51</v>
      </c>
      <c r="C381" s="4" t="s">
        <v>487</v>
      </c>
      <c r="D381" s="4" t="s">
        <v>462</v>
      </c>
      <c r="E381" s="4" t="s">
        <v>487</v>
      </c>
      <c r="F381" s="29"/>
    </row>
    <row r="382" spans="1:6" x14ac:dyDescent="0.25">
      <c r="A382" t="s">
        <v>482</v>
      </c>
      <c r="B382" t="s">
        <v>51</v>
      </c>
      <c r="C382" s="4" t="s">
        <v>487</v>
      </c>
      <c r="D382" s="4" t="s">
        <v>465</v>
      </c>
      <c r="E382" s="4" t="s">
        <v>487</v>
      </c>
      <c r="F382" s="29"/>
    </row>
    <row r="383" spans="1:6" x14ac:dyDescent="0.25">
      <c r="A383" t="s">
        <v>482</v>
      </c>
      <c r="B383" t="s">
        <v>51</v>
      </c>
      <c r="C383" s="4" t="s">
        <v>487</v>
      </c>
      <c r="D383" s="4" t="s">
        <v>464</v>
      </c>
      <c r="E383" s="4" t="s">
        <v>487</v>
      </c>
      <c r="F383" s="29"/>
    </row>
    <row r="384" spans="1:6" x14ac:dyDescent="0.25">
      <c r="A384" t="s">
        <v>482</v>
      </c>
      <c r="B384" t="s">
        <v>51</v>
      </c>
      <c r="C384" s="4" t="s">
        <v>487</v>
      </c>
      <c r="D384" s="4" t="s">
        <v>463</v>
      </c>
      <c r="E384" s="4" t="s">
        <v>67</v>
      </c>
      <c r="F384" s="29"/>
    </row>
    <row r="385" spans="1:6" x14ac:dyDescent="0.25">
      <c r="A385" t="s">
        <v>482</v>
      </c>
      <c r="B385" t="s">
        <v>51</v>
      </c>
      <c r="C385" s="4">
        <v>29</v>
      </c>
      <c r="D385" s="4" t="s">
        <v>456</v>
      </c>
      <c r="E385" s="4" t="s">
        <v>487</v>
      </c>
      <c r="F385" s="29"/>
    </row>
    <row r="386" spans="1:6" x14ac:dyDescent="0.25">
      <c r="A386" t="s">
        <v>482</v>
      </c>
      <c r="B386" t="s">
        <v>51</v>
      </c>
      <c r="C386" s="4" t="s">
        <v>487</v>
      </c>
      <c r="D386" s="4" t="s">
        <v>458</v>
      </c>
      <c r="E386" s="4" t="s">
        <v>487</v>
      </c>
      <c r="F386" s="29"/>
    </row>
    <row r="387" spans="1:6" x14ac:dyDescent="0.25">
      <c r="A387" t="s">
        <v>482</v>
      </c>
      <c r="B387" t="s">
        <v>51</v>
      </c>
      <c r="C387" s="4" t="s">
        <v>487</v>
      </c>
      <c r="D387" s="4" t="s">
        <v>459</v>
      </c>
      <c r="E387" s="4" t="s">
        <v>487</v>
      </c>
      <c r="F387" s="29"/>
    </row>
    <row r="388" spans="1:6" x14ac:dyDescent="0.25">
      <c r="A388" t="s">
        <v>482</v>
      </c>
      <c r="B388" t="s">
        <v>51</v>
      </c>
      <c r="C388" s="4" t="s">
        <v>487</v>
      </c>
      <c r="D388" s="4" t="s">
        <v>457</v>
      </c>
      <c r="E388" s="4" t="s">
        <v>17</v>
      </c>
      <c r="F388" s="29"/>
    </row>
    <row r="389" spans="1:6" x14ac:dyDescent="0.25">
      <c r="A389" t="s">
        <v>482</v>
      </c>
      <c r="B389" t="s">
        <v>51</v>
      </c>
      <c r="C389" s="4" t="s">
        <v>487</v>
      </c>
      <c r="D389" s="4" t="s">
        <v>460</v>
      </c>
      <c r="E389" s="4" t="s">
        <v>487</v>
      </c>
      <c r="F389" s="29"/>
    </row>
    <row r="390" spans="1:6" x14ac:dyDescent="0.25">
      <c r="C390" s="4"/>
      <c r="D390" s="28" t="s">
        <v>483</v>
      </c>
      <c r="E390" s="4"/>
      <c r="F390" s="29"/>
    </row>
    <row r="391" spans="1:6" x14ac:dyDescent="0.25">
      <c r="C391" s="4"/>
      <c r="D391" s="28" t="s">
        <v>488</v>
      </c>
      <c r="E391" s="4"/>
      <c r="F391" s="29"/>
    </row>
    <row r="392" spans="1:6" x14ac:dyDescent="0.25">
      <c r="A392" t="s">
        <v>483</v>
      </c>
      <c r="B392" t="s">
        <v>10</v>
      </c>
      <c r="C392" s="4">
        <v>1</v>
      </c>
      <c r="D392" s="4" t="s">
        <v>212</v>
      </c>
      <c r="E392" s="4" t="s">
        <v>487</v>
      </c>
      <c r="F392" s="29">
        <v>0.2</v>
      </c>
    </row>
    <row r="393" spans="1:6" x14ac:dyDescent="0.25">
      <c r="A393" t="s">
        <v>483</v>
      </c>
      <c r="B393" t="s">
        <v>10</v>
      </c>
      <c r="C393" s="4" t="s">
        <v>487</v>
      </c>
      <c r="D393" s="4" t="s">
        <v>213</v>
      </c>
      <c r="E393" s="4" t="s">
        <v>487</v>
      </c>
      <c r="F393" s="29"/>
    </row>
    <row r="394" spans="1:6" x14ac:dyDescent="0.25">
      <c r="A394" t="s">
        <v>483</v>
      </c>
      <c r="B394" t="s">
        <v>10</v>
      </c>
      <c r="C394" s="4" t="s">
        <v>487</v>
      </c>
      <c r="D394" s="4" t="s">
        <v>214</v>
      </c>
      <c r="E394" s="4" t="s">
        <v>9</v>
      </c>
      <c r="F394" s="29"/>
    </row>
    <row r="395" spans="1:6" x14ac:dyDescent="0.25">
      <c r="A395" t="s">
        <v>483</v>
      </c>
      <c r="B395" t="s">
        <v>10</v>
      </c>
      <c r="C395" s="4" t="s">
        <v>487</v>
      </c>
      <c r="D395" s="4" t="s">
        <v>215</v>
      </c>
      <c r="E395" s="4" t="s">
        <v>487</v>
      </c>
      <c r="F395" s="29"/>
    </row>
    <row r="396" spans="1:6" x14ac:dyDescent="0.25">
      <c r="A396" t="s">
        <v>483</v>
      </c>
      <c r="B396" t="s">
        <v>10</v>
      </c>
      <c r="C396" s="4" t="s">
        <v>487</v>
      </c>
      <c r="D396" s="4" t="s">
        <v>216</v>
      </c>
      <c r="E396" s="4" t="s">
        <v>487</v>
      </c>
      <c r="F396" s="29"/>
    </row>
    <row r="397" spans="1:6" x14ac:dyDescent="0.25">
      <c r="A397" t="s">
        <v>483</v>
      </c>
      <c r="B397" t="s">
        <v>10</v>
      </c>
      <c r="C397" s="4">
        <v>2</v>
      </c>
      <c r="D397" s="4" t="s">
        <v>386</v>
      </c>
      <c r="E397" s="4" t="s">
        <v>487</v>
      </c>
      <c r="F397" s="29">
        <v>0.2</v>
      </c>
    </row>
    <row r="398" spans="1:6" x14ac:dyDescent="0.25">
      <c r="A398" t="s">
        <v>483</v>
      </c>
      <c r="B398" t="s">
        <v>10</v>
      </c>
      <c r="C398" s="4" t="s">
        <v>487</v>
      </c>
      <c r="D398" s="4" t="s">
        <v>145</v>
      </c>
      <c r="E398" s="4" t="s">
        <v>36</v>
      </c>
      <c r="F398" s="29"/>
    </row>
    <row r="399" spans="1:6" x14ac:dyDescent="0.25">
      <c r="A399" t="s">
        <v>483</v>
      </c>
      <c r="B399" t="s">
        <v>10</v>
      </c>
      <c r="C399" s="4" t="s">
        <v>487</v>
      </c>
      <c r="D399" s="4" t="s">
        <v>146</v>
      </c>
      <c r="E399" s="4" t="s">
        <v>487</v>
      </c>
      <c r="F399" s="29"/>
    </row>
    <row r="400" spans="1:6" x14ac:dyDescent="0.25">
      <c r="A400" t="s">
        <v>483</v>
      </c>
      <c r="B400" t="s">
        <v>10</v>
      </c>
      <c r="C400" s="4" t="s">
        <v>487</v>
      </c>
      <c r="D400" s="4" t="s">
        <v>147</v>
      </c>
      <c r="E400" s="4" t="s">
        <v>487</v>
      </c>
      <c r="F400" s="29"/>
    </row>
    <row r="401" spans="1:6" x14ac:dyDescent="0.25">
      <c r="A401" t="s">
        <v>483</v>
      </c>
      <c r="B401" t="s">
        <v>10</v>
      </c>
      <c r="C401" s="4" t="s">
        <v>487</v>
      </c>
      <c r="D401" s="4" t="s">
        <v>142</v>
      </c>
      <c r="E401" s="4" t="s">
        <v>487</v>
      </c>
      <c r="F401" s="29"/>
    </row>
    <row r="402" spans="1:6" x14ac:dyDescent="0.25">
      <c r="A402" t="s">
        <v>483</v>
      </c>
      <c r="B402" t="s">
        <v>10</v>
      </c>
      <c r="C402" s="4">
        <v>3</v>
      </c>
      <c r="D402" s="4" t="s">
        <v>350</v>
      </c>
      <c r="E402" s="4" t="s">
        <v>487</v>
      </c>
      <c r="F402" s="29">
        <v>0.2</v>
      </c>
    </row>
    <row r="403" spans="1:6" x14ac:dyDescent="0.25">
      <c r="A403" t="s">
        <v>483</v>
      </c>
      <c r="B403" t="s">
        <v>10</v>
      </c>
      <c r="C403" s="4" t="s">
        <v>487</v>
      </c>
      <c r="D403" s="4" t="s">
        <v>13</v>
      </c>
      <c r="E403" s="4" t="s">
        <v>487</v>
      </c>
      <c r="F403" s="29"/>
    </row>
    <row r="404" spans="1:6" x14ac:dyDescent="0.25">
      <c r="A404" t="s">
        <v>483</v>
      </c>
      <c r="B404" t="s">
        <v>10</v>
      </c>
      <c r="C404" s="4" t="s">
        <v>487</v>
      </c>
      <c r="D404" s="4" t="s">
        <v>46</v>
      </c>
      <c r="E404" s="4" t="s">
        <v>9</v>
      </c>
      <c r="F404" s="29"/>
    </row>
    <row r="405" spans="1:6" x14ac:dyDescent="0.25">
      <c r="A405" t="s">
        <v>483</v>
      </c>
      <c r="B405" t="s">
        <v>10</v>
      </c>
      <c r="C405" s="4" t="s">
        <v>487</v>
      </c>
      <c r="D405" s="4" t="s">
        <v>16</v>
      </c>
      <c r="E405" s="4" t="s">
        <v>487</v>
      </c>
      <c r="F405" s="29"/>
    </row>
    <row r="406" spans="1:6" x14ac:dyDescent="0.25">
      <c r="A406" t="s">
        <v>483</v>
      </c>
      <c r="B406" t="s">
        <v>10</v>
      </c>
      <c r="C406" s="4" t="s">
        <v>487</v>
      </c>
      <c r="D406" s="4" t="s">
        <v>15</v>
      </c>
      <c r="E406" s="4" t="s">
        <v>487</v>
      </c>
      <c r="F406" s="29"/>
    </row>
    <row r="407" spans="1:6" x14ac:dyDescent="0.25">
      <c r="A407" t="s">
        <v>483</v>
      </c>
      <c r="B407" t="s">
        <v>10</v>
      </c>
      <c r="C407" s="4">
        <v>4</v>
      </c>
      <c r="D407" s="4" t="s">
        <v>322</v>
      </c>
      <c r="E407" s="4" t="s">
        <v>487</v>
      </c>
      <c r="F407" s="29">
        <v>0.2</v>
      </c>
    </row>
    <row r="408" spans="1:6" x14ac:dyDescent="0.25">
      <c r="A408" t="s">
        <v>483</v>
      </c>
      <c r="B408" t="s">
        <v>10</v>
      </c>
      <c r="C408" s="4" t="s">
        <v>487</v>
      </c>
      <c r="D408" s="4" t="s">
        <v>260</v>
      </c>
      <c r="E408" s="4" t="s">
        <v>487</v>
      </c>
      <c r="F408" s="29"/>
    </row>
    <row r="409" spans="1:6" x14ac:dyDescent="0.25">
      <c r="A409" t="s">
        <v>483</v>
      </c>
      <c r="B409" t="s">
        <v>10</v>
      </c>
      <c r="C409" s="4" t="s">
        <v>487</v>
      </c>
      <c r="D409" s="4" t="s">
        <v>303</v>
      </c>
      <c r="E409" s="4" t="s">
        <v>487</v>
      </c>
      <c r="F409" s="29"/>
    </row>
    <row r="410" spans="1:6" x14ac:dyDescent="0.25">
      <c r="A410" t="s">
        <v>483</v>
      </c>
      <c r="B410" t="s">
        <v>10</v>
      </c>
      <c r="C410" s="4" t="s">
        <v>487</v>
      </c>
      <c r="D410" s="4" t="s">
        <v>323</v>
      </c>
      <c r="E410" s="4" t="s">
        <v>17</v>
      </c>
      <c r="F410" s="29"/>
    </row>
    <row r="411" spans="1:6" x14ac:dyDescent="0.25">
      <c r="A411" t="s">
        <v>483</v>
      </c>
      <c r="B411" t="s">
        <v>10</v>
      </c>
      <c r="C411" s="4" t="s">
        <v>487</v>
      </c>
      <c r="D411" s="4" t="s">
        <v>195</v>
      </c>
      <c r="E411" s="4" t="s">
        <v>487</v>
      </c>
      <c r="F411" s="29"/>
    </row>
    <row r="412" spans="1:6" x14ac:dyDescent="0.25">
      <c r="A412" t="s">
        <v>483</v>
      </c>
      <c r="B412" t="s">
        <v>10</v>
      </c>
      <c r="C412" s="4">
        <v>5</v>
      </c>
      <c r="D412" s="4" t="s">
        <v>400</v>
      </c>
      <c r="E412" s="4" t="s">
        <v>487</v>
      </c>
      <c r="F412" s="29">
        <v>0.2</v>
      </c>
    </row>
    <row r="413" spans="1:6" x14ac:dyDescent="0.25">
      <c r="A413" t="s">
        <v>483</v>
      </c>
      <c r="B413" t="s">
        <v>10</v>
      </c>
      <c r="C413" s="4" t="s">
        <v>487</v>
      </c>
      <c r="D413" s="4" t="s">
        <v>401</v>
      </c>
      <c r="E413" s="4" t="s">
        <v>36</v>
      </c>
      <c r="F413" s="29"/>
    </row>
    <row r="414" spans="1:6" x14ac:dyDescent="0.25">
      <c r="A414" t="s">
        <v>483</v>
      </c>
      <c r="B414" t="s">
        <v>10</v>
      </c>
      <c r="C414" s="4" t="s">
        <v>487</v>
      </c>
      <c r="D414" s="4" t="s">
        <v>402</v>
      </c>
      <c r="E414" s="4" t="s">
        <v>487</v>
      </c>
      <c r="F414" s="29"/>
    </row>
    <row r="415" spans="1:6" x14ac:dyDescent="0.25">
      <c r="A415" t="s">
        <v>483</v>
      </c>
      <c r="B415" t="s">
        <v>10</v>
      </c>
      <c r="C415" s="4" t="s">
        <v>487</v>
      </c>
      <c r="D415" s="4" t="s">
        <v>140</v>
      </c>
      <c r="E415" s="4" t="s">
        <v>487</v>
      </c>
      <c r="F415" s="29"/>
    </row>
    <row r="416" spans="1:6" x14ac:dyDescent="0.25">
      <c r="A416" t="s">
        <v>483</v>
      </c>
      <c r="B416" t="s">
        <v>10</v>
      </c>
      <c r="C416" s="4" t="s">
        <v>487</v>
      </c>
      <c r="D416" s="4" t="s">
        <v>144</v>
      </c>
      <c r="E416" s="4" t="s">
        <v>487</v>
      </c>
      <c r="F416" s="29"/>
    </row>
    <row r="417" spans="1:6" x14ac:dyDescent="0.25">
      <c r="A417" t="s">
        <v>483</v>
      </c>
      <c r="B417" t="s">
        <v>10</v>
      </c>
      <c r="C417" s="4">
        <v>6</v>
      </c>
      <c r="D417" s="4" t="s">
        <v>129</v>
      </c>
      <c r="E417" s="4" t="s">
        <v>487</v>
      </c>
      <c r="F417" s="29">
        <v>0.2</v>
      </c>
    </row>
    <row r="418" spans="1:6" x14ac:dyDescent="0.25">
      <c r="A418" t="s">
        <v>483</v>
      </c>
      <c r="B418" t="s">
        <v>10</v>
      </c>
      <c r="C418" s="4" t="s">
        <v>487</v>
      </c>
      <c r="D418" s="4" t="s">
        <v>90</v>
      </c>
      <c r="E418" s="4" t="s">
        <v>36</v>
      </c>
      <c r="F418" s="29"/>
    </row>
    <row r="419" spans="1:6" x14ac:dyDescent="0.25">
      <c r="A419" t="s">
        <v>483</v>
      </c>
      <c r="B419" t="s">
        <v>10</v>
      </c>
      <c r="C419" s="4" t="s">
        <v>487</v>
      </c>
      <c r="D419" s="4" t="s">
        <v>130</v>
      </c>
      <c r="E419" s="4" t="s">
        <v>487</v>
      </c>
      <c r="F419" s="29"/>
    </row>
    <row r="420" spans="1:6" x14ac:dyDescent="0.25">
      <c r="A420" t="s">
        <v>483</v>
      </c>
      <c r="B420" t="s">
        <v>10</v>
      </c>
      <c r="C420" s="4" t="s">
        <v>487</v>
      </c>
      <c r="D420" s="4" t="s">
        <v>91</v>
      </c>
      <c r="E420" s="4" t="s">
        <v>487</v>
      </c>
      <c r="F420" s="29"/>
    </row>
    <row r="421" spans="1:6" x14ac:dyDescent="0.25">
      <c r="A421" t="s">
        <v>483</v>
      </c>
      <c r="B421" t="s">
        <v>10</v>
      </c>
      <c r="C421" s="4" t="s">
        <v>487</v>
      </c>
      <c r="D421" s="4" t="s">
        <v>131</v>
      </c>
      <c r="E421" s="4" t="s">
        <v>487</v>
      </c>
      <c r="F421" s="29"/>
    </row>
    <row r="422" spans="1:6" x14ac:dyDescent="0.25">
      <c r="A422" t="s">
        <v>483</v>
      </c>
      <c r="B422" t="s">
        <v>10</v>
      </c>
      <c r="C422" s="4">
        <v>7</v>
      </c>
      <c r="D422" s="4" t="s">
        <v>135</v>
      </c>
      <c r="E422" s="4" t="s">
        <v>487</v>
      </c>
      <c r="F422" s="29">
        <v>0.2</v>
      </c>
    </row>
    <row r="423" spans="1:6" x14ac:dyDescent="0.25">
      <c r="A423" t="s">
        <v>483</v>
      </c>
      <c r="B423" t="s">
        <v>10</v>
      </c>
      <c r="C423" s="4" t="s">
        <v>487</v>
      </c>
      <c r="D423" s="4" t="s">
        <v>136</v>
      </c>
      <c r="E423" s="4" t="s">
        <v>36</v>
      </c>
      <c r="F423" s="29"/>
    </row>
    <row r="424" spans="1:6" x14ac:dyDescent="0.25">
      <c r="A424" t="s">
        <v>483</v>
      </c>
      <c r="B424" t="s">
        <v>10</v>
      </c>
      <c r="C424" s="4" t="s">
        <v>487</v>
      </c>
      <c r="D424" s="4" t="s">
        <v>127</v>
      </c>
      <c r="E424" s="4" t="s">
        <v>487</v>
      </c>
      <c r="F424" s="29"/>
    </row>
    <row r="425" spans="1:6" x14ac:dyDescent="0.25">
      <c r="A425" t="s">
        <v>483</v>
      </c>
      <c r="B425" t="s">
        <v>10</v>
      </c>
      <c r="C425" s="4" t="s">
        <v>487</v>
      </c>
      <c r="D425" s="4" t="s">
        <v>96</v>
      </c>
      <c r="E425" s="4" t="s">
        <v>487</v>
      </c>
      <c r="F425" s="29"/>
    </row>
    <row r="426" spans="1:6" x14ac:dyDescent="0.25">
      <c r="A426" t="s">
        <v>483</v>
      </c>
      <c r="B426" t="s">
        <v>10</v>
      </c>
      <c r="C426" s="4" t="s">
        <v>487</v>
      </c>
      <c r="D426" s="4" t="s">
        <v>137</v>
      </c>
      <c r="E426" s="4" t="s">
        <v>487</v>
      </c>
      <c r="F426" s="29"/>
    </row>
    <row r="427" spans="1:6" x14ac:dyDescent="0.25">
      <c r="A427" t="s">
        <v>483</v>
      </c>
      <c r="B427" t="s">
        <v>10</v>
      </c>
      <c r="C427" s="4">
        <v>8</v>
      </c>
      <c r="D427" s="4" t="s">
        <v>154</v>
      </c>
      <c r="E427" s="4" t="s">
        <v>487</v>
      </c>
      <c r="F427" s="29">
        <v>0.2</v>
      </c>
    </row>
    <row r="428" spans="1:6" x14ac:dyDescent="0.25">
      <c r="A428" t="s">
        <v>483</v>
      </c>
      <c r="B428" t="s">
        <v>10</v>
      </c>
      <c r="C428" s="4" t="s">
        <v>487</v>
      </c>
      <c r="D428" s="4" t="s">
        <v>96</v>
      </c>
      <c r="E428" s="4" t="s">
        <v>36</v>
      </c>
      <c r="F428" s="29"/>
    </row>
    <row r="429" spans="1:6" x14ac:dyDescent="0.25">
      <c r="A429" t="s">
        <v>483</v>
      </c>
      <c r="B429" t="s">
        <v>10</v>
      </c>
      <c r="C429" s="4" t="s">
        <v>487</v>
      </c>
      <c r="D429" s="4" t="s">
        <v>131</v>
      </c>
      <c r="E429" s="4" t="s">
        <v>487</v>
      </c>
      <c r="F429" s="29"/>
    </row>
    <row r="430" spans="1:6" x14ac:dyDescent="0.25">
      <c r="A430" t="s">
        <v>483</v>
      </c>
      <c r="B430" t="s">
        <v>10</v>
      </c>
      <c r="C430" s="4" t="s">
        <v>487</v>
      </c>
      <c r="D430" s="4" t="s">
        <v>137</v>
      </c>
      <c r="E430" s="4" t="s">
        <v>487</v>
      </c>
      <c r="F430" s="29"/>
    </row>
    <row r="431" spans="1:6" x14ac:dyDescent="0.25">
      <c r="A431" t="s">
        <v>483</v>
      </c>
      <c r="B431" t="s">
        <v>10</v>
      </c>
      <c r="C431" s="4" t="s">
        <v>487</v>
      </c>
      <c r="D431" s="4" t="s">
        <v>126</v>
      </c>
      <c r="E431" s="4" t="s">
        <v>487</v>
      </c>
      <c r="F431" s="29"/>
    </row>
    <row r="432" spans="1:6" x14ac:dyDescent="0.25">
      <c r="A432" t="s">
        <v>483</v>
      </c>
      <c r="B432" t="s">
        <v>10</v>
      </c>
      <c r="C432" s="4">
        <v>9</v>
      </c>
      <c r="D432" s="4" t="s">
        <v>351</v>
      </c>
      <c r="E432" s="4" t="s">
        <v>487</v>
      </c>
      <c r="F432" s="29">
        <v>0.2</v>
      </c>
    </row>
    <row r="433" spans="1:6" x14ac:dyDescent="0.25">
      <c r="A433" t="s">
        <v>483</v>
      </c>
      <c r="B433" t="s">
        <v>10</v>
      </c>
      <c r="C433" s="4" t="s">
        <v>487</v>
      </c>
      <c r="D433" s="4" t="s">
        <v>155</v>
      </c>
      <c r="E433" s="4" t="s">
        <v>36</v>
      </c>
      <c r="F433" s="29"/>
    </row>
    <row r="434" spans="1:6" x14ac:dyDescent="0.25">
      <c r="A434" t="s">
        <v>483</v>
      </c>
      <c r="B434" t="s">
        <v>10</v>
      </c>
      <c r="C434" s="4" t="s">
        <v>487</v>
      </c>
      <c r="D434" s="4" t="s">
        <v>91</v>
      </c>
      <c r="E434" s="4" t="s">
        <v>487</v>
      </c>
      <c r="F434" s="29"/>
    </row>
    <row r="435" spans="1:6" x14ac:dyDescent="0.25">
      <c r="A435" t="s">
        <v>483</v>
      </c>
      <c r="B435" t="s">
        <v>10</v>
      </c>
      <c r="C435" s="4" t="s">
        <v>487</v>
      </c>
      <c r="D435" s="4" t="s">
        <v>156</v>
      </c>
      <c r="E435" s="4" t="s">
        <v>487</v>
      </c>
      <c r="F435" s="29"/>
    </row>
    <row r="436" spans="1:6" x14ac:dyDescent="0.25">
      <c r="A436" t="s">
        <v>483</v>
      </c>
      <c r="B436" t="s">
        <v>10</v>
      </c>
      <c r="C436" s="4" t="s">
        <v>487</v>
      </c>
      <c r="D436" s="4" t="s">
        <v>127</v>
      </c>
      <c r="E436" s="4" t="s">
        <v>487</v>
      </c>
      <c r="F436" s="29"/>
    </row>
    <row r="437" spans="1:6" x14ac:dyDescent="0.25">
      <c r="A437" t="s">
        <v>483</v>
      </c>
      <c r="B437" t="s">
        <v>10</v>
      </c>
      <c r="C437" s="4">
        <v>10</v>
      </c>
      <c r="D437" s="4" t="s">
        <v>352</v>
      </c>
      <c r="E437" s="4" t="s">
        <v>487</v>
      </c>
      <c r="F437" s="29">
        <v>0.2</v>
      </c>
    </row>
    <row r="438" spans="1:6" x14ac:dyDescent="0.25">
      <c r="A438" t="s">
        <v>483</v>
      </c>
      <c r="B438" t="s">
        <v>10</v>
      </c>
      <c r="C438" s="4" t="s">
        <v>487</v>
      </c>
      <c r="D438" s="4" t="s">
        <v>106</v>
      </c>
      <c r="E438" s="4" t="s">
        <v>487</v>
      </c>
      <c r="F438" s="29"/>
    </row>
    <row r="439" spans="1:6" x14ac:dyDescent="0.25">
      <c r="A439" t="s">
        <v>483</v>
      </c>
      <c r="B439" t="s">
        <v>10</v>
      </c>
      <c r="C439" s="4" t="s">
        <v>487</v>
      </c>
      <c r="D439" s="4" t="s">
        <v>148</v>
      </c>
      <c r="E439" s="4" t="s">
        <v>9</v>
      </c>
      <c r="F439" s="29"/>
    </row>
    <row r="440" spans="1:6" x14ac:dyDescent="0.25">
      <c r="A440" t="s">
        <v>483</v>
      </c>
      <c r="B440" t="s">
        <v>10</v>
      </c>
      <c r="C440" s="4" t="s">
        <v>487</v>
      </c>
      <c r="D440" s="4" t="s">
        <v>134</v>
      </c>
      <c r="E440" s="4" t="s">
        <v>487</v>
      </c>
      <c r="F440" s="29"/>
    </row>
    <row r="441" spans="1:6" x14ac:dyDescent="0.25">
      <c r="A441" t="s">
        <v>483</v>
      </c>
      <c r="B441" t="s">
        <v>10</v>
      </c>
      <c r="C441" s="4" t="s">
        <v>487</v>
      </c>
      <c r="D441" s="4" t="s">
        <v>144</v>
      </c>
      <c r="E441" s="4" t="s">
        <v>487</v>
      </c>
      <c r="F441" s="29"/>
    </row>
    <row r="442" spans="1:6" x14ac:dyDescent="0.25">
      <c r="A442" t="s">
        <v>483</v>
      </c>
      <c r="B442" t="s">
        <v>10</v>
      </c>
      <c r="C442" s="4">
        <v>11</v>
      </c>
      <c r="D442" s="4" t="s">
        <v>353</v>
      </c>
      <c r="E442" s="4" t="s">
        <v>487</v>
      </c>
      <c r="F442" s="29">
        <v>0.2</v>
      </c>
    </row>
    <row r="443" spans="1:6" x14ac:dyDescent="0.25">
      <c r="A443" t="s">
        <v>483</v>
      </c>
      <c r="B443" t="s">
        <v>10</v>
      </c>
      <c r="C443" s="4" t="s">
        <v>487</v>
      </c>
      <c r="D443" s="4" t="s">
        <v>207</v>
      </c>
      <c r="E443" s="4" t="s">
        <v>36</v>
      </c>
      <c r="F443" s="29"/>
    </row>
    <row r="444" spans="1:6" x14ac:dyDescent="0.25">
      <c r="A444" t="s">
        <v>483</v>
      </c>
      <c r="B444" t="s">
        <v>10</v>
      </c>
      <c r="C444" s="4" t="s">
        <v>487</v>
      </c>
      <c r="D444" s="4" t="s">
        <v>106</v>
      </c>
      <c r="E444" s="4" t="s">
        <v>487</v>
      </c>
      <c r="F444" s="29"/>
    </row>
    <row r="445" spans="1:6" x14ac:dyDescent="0.25">
      <c r="A445" t="s">
        <v>483</v>
      </c>
      <c r="B445" t="s">
        <v>10</v>
      </c>
      <c r="C445" s="4" t="s">
        <v>487</v>
      </c>
      <c r="D445" s="4" t="s">
        <v>127</v>
      </c>
      <c r="E445" s="4" t="s">
        <v>487</v>
      </c>
      <c r="F445" s="29"/>
    </row>
    <row r="446" spans="1:6" x14ac:dyDescent="0.25">
      <c r="A446" t="s">
        <v>483</v>
      </c>
      <c r="B446" t="s">
        <v>10</v>
      </c>
      <c r="C446" s="4" t="s">
        <v>487</v>
      </c>
      <c r="D446" s="4" t="s">
        <v>137</v>
      </c>
      <c r="E446" s="4" t="s">
        <v>487</v>
      </c>
      <c r="F446" s="29"/>
    </row>
    <row r="447" spans="1:6" x14ac:dyDescent="0.25">
      <c r="A447" t="s">
        <v>483</v>
      </c>
      <c r="B447" t="s">
        <v>10</v>
      </c>
      <c r="C447" s="4">
        <v>12</v>
      </c>
      <c r="D447" s="4" t="s">
        <v>125</v>
      </c>
      <c r="E447" s="4" t="s">
        <v>487</v>
      </c>
      <c r="F447" s="29">
        <v>0.2</v>
      </c>
    </row>
    <row r="448" spans="1:6" x14ac:dyDescent="0.25">
      <c r="A448" t="s">
        <v>483</v>
      </c>
      <c r="B448" t="s">
        <v>10</v>
      </c>
      <c r="C448" s="4" t="s">
        <v>487</v>
      </c>
      <c r="D448" s="4" t="s">
        <v>96</v>
      </c>
      <c r="E448" s="4" t="s">
        <v>487</v>
      </c>
      <c r="F448" s="29"/>
    </row>
    <row r="449" spans="1:6" x14ac:dyDescent="0.25">
      <c r="A449" t="s">
        <v>483</v>
      </c>
      <c r="B449" t="s">
        <v>10</v>
      </c>
      <c r="C449" s="4" t="s">
        <v>487</v>
      </c>
      <c r="D449" s="4" t="s">
        <v>126</v>
      </c>
      <c r="E449" s="4" t="s">
        <v>9</v>
      </c>
      <c r="F449" s="29"/>
    </row>
    <row r="450" spans="1:6" x14ac:dyDescent="0.25">
      <c r="A450" t="s">
        <v>483</v>
      </c>
      <c r="B450" t="s">
        <v>10</v>
      </c>
      <c r="C450" s="4" t="s">
        <v>487</v>
      </c>
      <c r="D450" s="4" t="s">
        <v>127</v>
      </c>
      <c r="E450" s="4" t="s">
        <v>487</v>
      </c>
      <c r="F450" s="29"/>
    </row>
    <row r="451" spans="1:6" x14ac:dyDescent="0.25">
      <c r="A451" t="s">
        <v>483</v>
      </c>
      <c r="B451" t="s">
        <v>10</v>
      </c>
      <c r="C451" s="4" t="s">
        <v>487</v>
      </c>
      <c r="D451" s="4" t="s">
        <v>128</v>
      </c>
      <c r="E451" s="4" t="s">
        <v>487</v>
      </c>
      <c r="F451" s="29"/>
    </row>
    <row r="452" spans="1:6" x14ac:dyDescent="0.25">
      <c r="A452" t="s">
        <v>483</v>
      </c>
      <c r="B452" t="s">
        <v>10</v>
      </c>
      <c r="C452" s="4">
        <v>13</v>
      </c>
      <c r="D452" s="4" t="s">
        <v>234</v>
      </c>
      <c r="E452" s="4" t="s">
        <v>487</v>
      </c>
      <c r="F452" s="29">
        <v>0.2</v>
      </c>
    </row>
    <row r="453" spans="1:6" x14ac:dyDescent="0.25">
      <c r="A453" t="s">
        <v>483</v>
      </c>
      <c r="B453" t="s">
        <v>10</v>
      </c>
      <c r="C453" s="4" t="s">
        <v>487</v>
      </c>
      <c r="D453" s="4" t="s">
        <v>237</v>
      </c>
      <c r="E453" s="4" t="s">
        <v>487</v>
      </c>
      <c r="F453" s="29"/>
    </row>
    <row r="454" spans="1:6" x14ac:dyDescent="0.25">
      <c r="A454" t="s">
        <v>483</v>
      </c>
      <c r="B454" t="s">
        <v>10</v>
      </c>
      <c r="C454" s="4" t="s">
        <v>487</v>
      </c>
      <c r="D454" s="4" t="s">
        <v>236</v>
      </c>
      <c r="E454" s="4" t="s">
        <v>9</v>
      </c>
      <c r="F454" s="29"/>
    </row>
    <row r="455" spans="1:6" x14ac:dyDescent="0.25">
      <c r="A455" t="s">
        <v>483</v>
      </c>
      <c r="B455" t="s">
        <v>10</v>
      </c>
      <c r="C455" s="4" t="s">
        <v>487</v>
      </c>
      <c r="D455" s="4" t="s">
        <v>235</v>
      </c>
      <c r="E455" s="4" t="s">
        <v>487</v>
      </c>
      <c r="F455" s="29"/>
    </row>
    <row r="456" spans="1:6" x14ac:dyDescent="0.25">
      <c r="A456" t="s">
        <v>483</v>
      </c>
      <c r="B456" t="s">
        <v>10</v>
      </c>
      <c r="C456" s="4" t="s">
        <v>487</v>
      </c>
      <c r="D456" s="4" t="s">
        <v>238</v>
      </c>
      <c r="E456" s="4" t="s">
        <v>487</v>
      </c>
      <c r="F456" s="29"/>
    </row>
    <row r="457" spans="1:6" x14ac:dyDescent="0.25">
      <c r="A457" t="s">
        <v>483</v>
      </c>
      <c r="B457" t="s">
        <v>10</v>
      </c>
      <c r="C457" s="4">
        <v>14</v>
      </c>
      <c r="D457" s="4" t="s">
        <v>354</v>
      </c>
      <c r="E457" s="4" t="s">
        <v>487</v>
      </c>
      <c r="F457" s="29">
        <v>0.2</v>
      </c>
    </row>
    <row r="458" spans="1:6" x14ac:dyDescent="0.25">
      <c r="A458" t="s">
        <v>483</v>
      </c>
      <c r="B458" t="s">
        <v>10</v>
      </c>
      <c r="C458" s="4" t="s">
        <v>487</v>
      </c>
      <c r="D458" s="4" t="s">
        <v>141</v>
      </c>
      <c r="E458" s="4" t="s">
        <v>36</v>
      </c>
      <c r="F458" s="29"/>
    </row>
    <row r="459" spans="1:6" x14ac:dyDescent="0.25">
      <c r="A459" t="s">
        <v>483</v>
      </c>
      <c r="B459" t="s">
        <v>10</v>
      </c>
      <c r="C459" s="4" t="s">
        <v>487</v>
      </c>
      <c r="D459" s="4" t="s">
        <v>96</v>
      </c>
      <c r="E459" s="4" t="s">
        <v>487</v>
      </c>
      <c r="F459" s="29"/>
    </row>
    <row r="460" spans="1:6" x14ac:dyDescent="0.25">
      <c r="A460" t="s">
        <v>483</v>
      </c>
      <c r="B460" t="s">
        <v>10</v>
      </c>
      <c r="C460" s="4" t="s">
        <v>487</v>
      </c>
      <c r="D460" s="4" t="s">
        <v>142</v>
      </c>
      <c r="E460" s="4" t="s">
        <v>487</v>
      </c>
      <c r="F460" s="29"/>
    </row>
    <row r="461" spans="1:6" x14ac:dyDescent="0.25">
      <c r="A461" t="s">
        <v>483</v>
      </c>
      <c r="B461" t="s">
        <v>10</v>
      </c>
      <c r="C461" s="4" t="s">
        <v>487</v>
      </c>
      <c r="D461" s="4" t="s">
        <v>143</v>
      </c>
      <c r="E461" s="4" t="s">
        <v>487</v>
      </c>
      <c r="F461" s="29"/>
    </row>
    <row r="462" spans="1:6" x14ac:dyDescent="0.25">
      <c r="A462" t="s">
        <v>483</v>
      </c>
      <c r="B462" t="s">
        <v>10</v>
      </c>
      <c r="C462" s="4">
        <v>15</v>
      </c>
      <c r="D462" s="4" t="s">
        <v>149</v>
      </c>
      <c r="E462" s="4" t="s">
        <v>487</v>
      </c>
      <c r="F462" s="29">
        <v>0.2</v>
      </c>
    </row>
    <row r="463" spans="1:6" x14ac:dyDescent="0.25">
      <c r="A463" t="s">
        <v>483</v>
      </c>
      <c r="B463" t="s">
        <v>10</v>
      </c>
      <c r="C463" s="4" t="s">
        <v>487</v>
      </c>
      <c r="D463" s="4" t="s">
        <v>150</v>
      </c>
      <c r="E463" s="4" t="s">
        <v>36</v>
      </c>
      <c r="F463" s="29"/>
    </row>
    <row r="464" spans="1:6" x14ac:dyDescent="0.25">
      <c r="A464" t="s">
        <v>483</v>
      </c>
      <c r="B464" t="s">
        <v>10</v>
      </c>
      <c r="C464" s="4" t="s">
        <v>487</v>
      </c>
      <c r="D464" s="4" t="s">
        <v>151</v>
      </c>
      <c r="E464" s="4" t="s">
        <v>487</v>
      </c>
      <c r="F464" s="29"/>
    </row>
    <row r="465" spans="1:6" x14ac:dyDescent="0.25">
      <c r="A465" t="s">
        <v>483</v>
      </c>
      <c r="B465" t="s">
        <v>10</v>
      </c>
      <c r="C465" s="4" t="s">
        <v>487</v>
      </c>
      <c r="D465" s="4" t="s">
        <v>152</v>
      </c>
      <c r="E465" s="4" t="s">
        <v>487</v>
      </c>
      <c r="F465" s="29"/>
    </row>
    <row r="466" spans="1:6" x14ac:dyDescent="0.25">
      <c r="A466" t="s">
        <v>483</v>
      </c>
      <c r="B466" t="s">
        <v>10</v>
      </c>
      <c r="C466" s="4" t="s">
        <v>487</v>
      </c>
      <c r="D466" s="4" t="s">
        <v>153</v>
      </c>
      <c r="E466" s="4" t="s">
        <v>487</v>
      </c>
      <c r="F466" s="29"/>
    </row>
    <row r="467" spans="1:6" x14ac:dyDescent="0.25">
      <c r="A467" t="s">
        <v>483</v>
      </c>
      <c r="B467" t="s">
        <v>10</v>
      </c>
      <c r="C467" s="4">
        <v>16</v>
      </c>
      <c r="D467" s="4" t="s">
        <v>355</v>
      </c>
      <c r="E467" s="4" t="s">
        <v>487</v>
      </c>
      <c r="F467" s="29">
        <v>0.2</v>
      </c>
    </row>
    <row r="468" spans="1:6" x14ac:dyDescent="0.25">
      <c r="A468" t="s">
        <v>483</v>
      </c>
      <c r="B468" t="s">
        <v>10</v>
      </c>
      <c r="C468" s="4" t="s">
        <v>487</v>
      </c>
      <c r="D468" s="4" t="s">
        <v>138</v>
      </c>
      <c r="E468" s="4" t="s">
        <v>487</v>
      </c>
      <c r="F468" s="29"/>
    </row>
    <row r="469" spans="1:6" x14ac:dyDescent="0.25">
      <c r="A469" t="s">
        <v>483</v>
      </c>
      <c r="B469" t="s">
        <v>10</v>
      </c>
      <c r="C469" s="4" t="s">
        <v>487</v>
      </c>
      <c r="D469" s="4" t="s">
        <v>139</v>
      </c>
      <c r="E469" s="4" t="s">
        <v>9</v>
      </c>
      <c r="F469" s="29"/>
    </row>
    <row r="470" spans="1:6" x14ac:dyDescent="0.25">
      <c r="A470" t="s">
        <v>483</v>
      </c>
      <c r="B470" t="s">
        <v>10</v>
      </c>
      <c r="C470" s="4" t="s">
        <v>487</v>
      </c>
      <c r="D470" s="4" t="s">
        <v>140</v>
      </c>
      <c r="E470" s="4" t="s">
        <v>487</v>
      </c>
      <c r="F470" s="29"/>
    </row>
    <row r="471" spans="1:6" x14ac:dyDescent="0.25">
      <c r="A471" t="s">
        <v>483</v>
      </c>
      <c r="B471" t="s">
        <v>10</v>
      </c>
      <c r="C471" s="4" t="s">
        <v>487</v>
      </c>
      <c r="D471" s="4" t="s">
        <v>128</v>
      </c>
      <c r="E471" s="4" t="s">
        <v>487</v>
      </c>
      <c r="F471" s="29"/>
    </row>
    <row r="472" spans="1:6" x14ac:dyDescent="0.25">
      <c r="A472" t="s">
        <v>483</v>
      </c>
      <c r="B472" t="s">
        <v>10</v>
      </c>
      <c r="C472" s="4">
        <v>17</v>
      </c>
      <c r="D472" s="4" t="s">
        <v>132</v>
      </c>
      <c r="E472" s="4" t="s">
        <v>487</v>
      </c>
      <c r="F472" s="29">
        <v>0.2</v>
      </c>
    </row>
    <row r="473" spans="1:6" x14ac:dyDescent="0.25">
      <c r="A473" t="s">
        <v>483</v>
      </c>
      <c r="B473" t="s">
        <v>10</v>
      </c>
      <c r="C473" s="4" t="s">
        <v>487</v>
      </c>
      <c r="D473" s="4" t="s">
        <v>133</v>
      </c>
      <c r="E473" s="4" t="s">
        <v>487</v>
      </c>
      <c r="F473" s="29"/>
    </row>
    <row r="474" spans="1:6" x14ac:dyDescent="0.25">
      <c r="A474" t="s">
        <v>483</v>
      </c>
      <c r="B474" t="s">
        <v>10</v>
      </c>
      <c r="C474" s="4" t="s">
        <v>487</v>
      </c>
      <c r="D474" s="4" t="s">
        <v>134</v>
      </c>
      <c r="E474" s="4" t="s">
        <v>9</v>
      </c>
      <c r="F474" s="29"/>
    </row>
    <row r="475" spans="1:6" x14ac:dyDescent="0.25">
      <c r="A475" t="s">
        <v>483</v>
      </c>
      <c r="B475" t="s">
        <v>10</v>
      </c>
      <c r="C475" s="4" t="s">
        <v>487</v>
      </c>
      <c r="D475" s="4" t="s">
        <v>91</v>
      </c>
      <c r="E475" s="4" t="s">
        <v>487</v>
      </c>
      <c r="F475" s="29"/>
    </row>
    <row r="476" spans="1:6" x14ac:dyDescent="0.25">
      <c r="A476" t="s">
        <v>483</v>
      </c>
      <c r="B476" t="s">
        <v>10</v>
      </c>
      <c r="C476" s="4" t="s">
        <v>487</v>
      </c>
      <c r="D476" s="4" t="s">
        <v>106</v>
      </c>
      <c r="E476" s="4" t="s">
        <v>487</v>
      </c>
      <c r="F476" s="29"/>
    </row>
    <row r="477" spans="1:6" x14ac:dyDescent="0.25">
      <c r="C477" s="4"/>
      <c r="D477" s="28" t="s">
        <v>489</v>
      </c>
      <c r="E477" s="4"/>
      <c r="F477" s="29"/>
    </row>
    <row r="478" spans="1:6" x14ac:dyDescent="0.25">
      <c r="A478" t="s">
        <v>483</v>
      </c>
      <c r="B478" t="s">
        <v>51</v>
      </c>
      <c r="C478" s="4">
        <v>1</v>
      </c>
      <c r="D478" s="4" t="s">
        <v>197</v>
      </c>
      <c r="E478" s="4" t="s">
        <v>487</v>
      </c>
      <c r="F478" s="29">
        <v>0.2</v>
      </c>
    </row>
    <row r="479" spans="1:6" x14ac:dyDescent="0.25">
      <c r="A479" t="s">
        <v>483</v>
      </c>
      <c r="B479" t="s">
        <v>51</v>
      </c>
      <c r="C479" s="4" t="s">
        <v>487</v>
      </c>
      <c r="D479" s="4" t="s">
        <v>198</v>
      </c>
      <c r="E479" s="4" t="s">
        <v>36</v>
      </c>
      <c r="F479" s="29"/>
    </row>
    <row r="480" spans="1:6" x14ac:dyDescent="0.25">
      <c r="A480" t="s">
        <v>483</v>
      </c>
      <c r="B480" t="s">
        <v>51</v>
      </c>
      <c r="C480" s="4" t="s">
        <v>487</v>
      </c>
      <c r="D480" s="4" t="s">
        <v>137</v>
      </c>
      <c r="E480" s="4" t="s">
        <v>487</v>
      </c>
      <c r="F480" s="29"/>
    </row>
    <row r="481" spans="1:6" x14ac:dyDescent="0.25">
      <c r="A481" t="s">
        <v>483</v>
      </c>
      <c r="B481" t="s">
        <v>51</v>
      </c>
      <c r="C481" s="4" t="s">
        <v>487</v>
      </c>
      <c r="D481" s="4" t="s">
        <v>196</v>
      </c>
      <c r="E481" s="4" t="s">
        <v>487</v>
      </c>
      <c r="F481" s="29"/>
    </row>
    <row r="482" spans="1:6" x14ac:dyDescent="0.25">
      <c r="A482" t="s">
        <v>483</v>
      </c>
      <c r="B482" t="s">
        <v>51</v>
      </c>
      <c r="C482" s="4" t="s">
        <v>487</v>
      </c>
      <c r="D482" s="4" t="s">
        <v>191</v>
      </c>
      <c r="E482" s="4" t="s">
        <v>487</v>
      </c>
      <c r="F482" s="29"/>
    </row>
    <row r="483" spans="1:6" x14ac:dyDescent="0.25">
      <c r="A483" t="s">
        <v>483</v>
      </c>
      <c r="B483" t="s">
        <v>51</v>
      </c>
      <c r="C483" s="4">
        <v>2</v>
      </c>
      <c r="D483" s="4" t="s">
        <v>367</v>
      </c>
      <c r="E483" s="4" t="s">
        <v>487</v>
      </c>
      <c r="F483" s="29">
        <v>0.2</v>
      </c>
    </row>
    <row r="484" spans="1:6" x14ac:dyDescent="0.25">
      <c r="A484" t="s">
        <v>483</v>
      </c>
      <c r="B484" t="s">
        <v>51</v>
      </c>
      <c r="C484" s="4" t="s">
        <v>487</v>
      </c>
      <c r="D484" s="4" t="s">
        <v>96</v>
      </c>
      <c r="E484" s="4" t="s">
        <v>36</v>
      </c>
      <c r="F484" s="29"/>
    </row>
    <row r="485" spans="1:6" x14ac:dyDescent="0.25">
      <c r="A485" t="s">
        <v>483</v>
      </c>
      <c r="B485" t="s">
        <v>51</v>
      </c>
      <c r="C485" s="4" t="s">
        <v>487</v>
      </c>
      <c r="D485" s="4" t="s">
        <v>131</v>
      </c>
      <c r="E485" s="4" t="s">
        <v>487</v>
      </c>
      <c r="F485" s="29"/>
    </row>
    <row r="486" spans="1:6" x14ac:dyDescent="0.25">
      <c r="A486" t="s">
        <v>483</v>
      </c>
      <c r="B486" t="s">
        <v>51</v>
      </c>
      <c r="C486" s="4" t="s">
        <v>487</v>
      </c>
      <c r="D486" s="4" t="s">
        <v>156</v>
      </c>
      <c r="E486" s="4" t="s">
        <v>487</v>
      </c>
      <c r="F486" s="29"/>
    </row>
    <row r="487" spans="1:6" x14ac:dyDescent="0.25">
      <c r="A487" t="s">
        <v>483</v>
      </c>
      <c r="B487" t="s">
        <v>51</v>
      </c>
      <c r="C487" s="4" t="s">
        <v>487</v>
      </c>
      <c r="D487" s="4" t="s">
        <v>127</v>
      </c>
      <c r="E487" s="4" t="s">
        <v>487</v>
      </c>
      <c r="F487" s="29"/>
    </row>
    <row r="488" spans="1:6" x14ac:dyDescent="0.25">
      <c r="A488" t="s">
        <v>483</v>
      </c>
      <c r="B488" t="s">
        <v>51</v>
      </c>
      <c r="C488" s="4">
        <v>3</v>
      </c>
      <c r="D488" s="4" t="s">
        <v>190</v>
      </c>
      <c r="E488" s="4" t="s">
        <v>487</v>
      </c>
      <c r="F488" s="29">
        <v>0.2</v>
      </c>
    </row>
    <row r="489" spans="1:6" x14ac:dyDescent="0.25">
      <c r="A489" t="s">
        <v>483</v>
      </c>
      <c r="B489" t="s">
        <v>51</v>
      </c>
      <c r="C489" s="4" t="s">
        <v>487</v>
      </c>
      <c r="D489" s="4" t="s">
        <v>140</v>
      </c>
      <c r="E489" s="4" t="s">
        <v>487</v>
      </c>
      <c r="F489" s="29"/>
    </row>
    <row r="490" spans="1:6" x14ac:dyDescent="0.25">
      <c r="A490" t="s">
        <v>483</v>
      </c>
      <c r="B490" t="s">
        <v>51</v>
      </c>
      <c r="C490" s="4" t="s">
        <v>487</v>
      </c>
      <c r="D490" s="4" t="s">
        <v>126</v>
      </c>
      <c r="E490" s="4" t="s">
        <v>9</v>
      </c>
      <c r="F490" s="29"/>
    </row>
    <row r="491" spans="1:6" x14ac:dyDescent="0.25">
      <c r="A491" t="s">
        <v>483</v>
      </c>
      <c r="B491" t="s">
        <v>51</v>
      </c>
      <c r="C491" s="4" t="s">
        <v>487</v>
      </c>
      <c r="D491" s="4" t="s">
        <v>131</v>
      </c>
      <c r="E491" s="4" t="s">
        <v>487</v>
      </c>
      <c r="F491" s="29"/>
    </row>
    <row r="492" spans="1:6" x14ac:dyDescent="0.25">
      <c r="A492" t="s">
        <v>483</v>
      </c>
      <c r="B492" t="s">
        <v>51</v>
      </c>
      <c r="C492" s="4" t="s">
        <v>487</v>
      </c>
      <c r="D492" s="4" t="s">
        <v>127</v>
      </c>
      <c r="E492" s="4" t="s">
        <v>487</v>
      </c>
      <c r="F492" s="29"/>
    </row>
    <row r="493" spans="1:6" x14ac:dyDescent="0.25">
      <c r="A493" t="s">
        <v>483</v>
      </c>
      <c r="B493" t="s">
        <v>51</v>
      </c>
      <c r="C493" s="4">
        <v>4</v>
      </c>
      <c r="D493" s="4" t="s">
        <v>175</v>
      </c>
      <c r="E493" s="4" t="s">
        <v>487</v>
      </c>
      <c r="F493" s="29">
        <v>0.2</v>
      </c>
    </row>
    <row r="494" spans="1:6" x14ac:dyDescent="0.25">
      <c r="A494" t="s">
        <v>483</v>
      </c>
      <c r="B494" t="s">
        <v>51</v>
      </c>
      <c r="C494" s="4" t="s">
        <v>487</v>
      </c>
      <c r="D494" s="4" t="s">
        <v>176</v>
      </c>
      <c r="E494" s="4" t="s">
        <v>487</v>
      </c>
      <c r="F494" s="29"/>
    </row>
    <row r="495" spans="1:6" x14ac:dyDescent="0.25">
      <c r="A495" t="s">
        <v>483</v>
      </c>
      <c r="B495" t="s">
        <v>51</v>
      </c>
      <c r="C495" s="4" t="s">
        <v>487</v>
      </c>
      <c r="D495" s="4" t="s">
        <v>177</v>
      </c>
      <c r="E495" s="4" t="s">
        <v>487</v>
      </c>
      <c r="F495" s="29"/>
    </row>
    <row r="496" spans="1:6" x14ac:dyDescent="0.25">
      <c r="A496" t="s">
        <v>483</v>
      </c>
      <c r="B496" t="s">
        <v>51</v>
      </c>
      <c r="C496" s="4" t="s">
        <v>487</v>
      </c>
      <c r="D496" s="4" t="s">
        <v>178</v>
      </c>
      <c r="E496" s="4" t="s">
        <v>487</v>
      </c>
      <c r="F496" s="29"/>
    </row>
    <row r="497" spans="1:6" x14ac:dyDescent="0.25">
      <c r="A497" t="s">
        <v>483</v>
      </c>
      <c r="B497" t="s">
        <v>51</v>
      </c>
      <c r="C497" s="4" t="s">
        <v>487</v>
      </c>
      <c r="D497" s="4" t="s">
        <v>179</v>
      </c>
      <c r="E497" s="4" t="s">
        <v>67</v>
      </c>
      <c r="F497" s="29"/>
    </row>
    <row r="498" spans="1:6" x14ac:dyDescent="0.25">
      <c r="A498" t="s">
        <v>483</v>
      </c>
      <c r="B498" t="s">
        <v>51</v>
      </c>
      <c r="C498" s="4">
        <v>5</v>
      </c>
      <c r="D498" s="4" t="s">
        <v>375</v>
      </c>
      <c r="E498" s="4" t="s">
        <v>487</v>
      </c>
      <c r="F498" s="29">
        <v>0.2</v>
      </c>
    </row>
    <row r="499" spans="1:6" x14ac:dyDescent="0.25">
      <c r="A499" t="s">
        <v>483</v>
      </c>
      <c r="B499" t="s">
        <v>51</v>
      </c>
      <c r="C499" s="4" t="s">
        <v>487</v>
      </c>
      <c r="D499" s="4" t="s">
        <v>200</v>
      </c>
      <c r="E499" s="4" t="s">
        <v>36</v>
      </c>
      <c r="F499" s="29"/>
    </row>
    <row r="500" spans="1:6" x14ac:dyDescent="0.25">
      <c r="A500" t="s">
        <v>483</v>
      </c>
      <c r="B500" t="s">
        <v>51</v>
      </c>
      <c r="C500" s="4" t="s">
        <v>487</v>
      </c>
      <c r="D500" s="4" t="s">
        <v>97</v>
      </c>
      <c r="E500" s="4" t="s">
        <v>487</v>
      </c>
      <c r="F500" s="29"/>
    </row>
    <row r="501" spans="1:6" x14ac:dyDescent="0.25">
      <c r="A501" t="s">
        <v>483</v>
      </c>
      <c r="B501" t="s">
        <v>51</v>
      </c>
      <c r="C501" s="4" t="s">
        <v>487</v>
      </c>
      <c r="D501" s="4" t="s">
        <v>96</v>
      </c>
      <c r="E501" s="4" t="s">
        <v>487</v>
      </c>
      <c r="F501" s="29"/>
    </row>
    <row r="502" spans="1:6" x14ac:dyDescent="0.25">
      <c r="A502" t="s">
        <v>483</v>
      </c>
      <c r="B502" t="s">
        <v>51</v>
      </c>
      <c r="C502" s="4" t="s">
        <v>487</v>
      </c>
      <c r="D502" s="4" t="s">
        <v>178</v>
      </c>
      <c r="E502" s="4" t="s">
        <v>487</v>
      </c>
      <c r="F502" s="29"/>
    </row>
    <row r="503" spans="1:6" x14ac:dyDescent="0.25">
      <c r="A503" t="s">
        <v>483</v>
      </c>
      <c r="B503" t="s">
        <v>51</v>
      </c>
      <c r="C503" s="4">
        <v>6</v>
      </c>
      <c r="D503" s="4" t="s">
        <v>368</v>
      </c>
      <c r="E503" s="4" t="s">
        <v>487</v>
      </c>
      <c r="F503" s="29">
        <v>0.2</v>
      </c>
    </row>
    <row r="504" spans="1:6" x14ac:dyDescent="0.25">
      <c r="A504" t="s">
        <v>483</v>
      </c>
      <c r="B504" t="s">
        <v>51</v>
      </c>
      <c r="C504" s="4" t="s">
        <v>487</v>
      </c>
      <c r="D504" s="4" t="s">
        <v>139</v>
      </c>
      <c r="E504" s="4" t="s">
        <v>9</v>
      </c>
      <c r="F504" s="29"/>
    </row>
    <row r="505" spans="1:6" x14ac:dyDescent="0.25">
      <c r="A505" t="s">
        <v>483</v>
      </c>
      <c r="B505" t="s">
        <v>51</v>
      </c>
      <c r="C505" s="4" t="s">
        <v>487</v>
      </c>
      <c r="D505" s="4" t="s">
        <v>131</v>
      </c>
      <c r="E505" s="4" t="s">
        <v>487</v>
      </c>
      <c r="F505" s="29"/>
    </row>
    <row r="506" spans="1:6" x14ac:dyDescent="0.25">
      <c r="A506" t="s">
        <v>483</v>
      </c>
      <c r="B506" t="s">
        <v>51</v>
      </c>
      <c r="C506" s="4" t="s">
        <v>487</v>
      </c>
      <c r="D506" s="4" t="s">
        <v>177</v>
      </c>
      <c r="E506" s="4" t="s">
        <v>487</v>
      </c>
      <c r="F506" s="29"/>
    </row>
    <row r="507" spans="1:6" x14ac:dyDescent="0.25">
      <c r="A507" t="s">
        <v>483</v>
      </c>
      <c r="B507" t="s">
        <v>51</v>
      </c>
      <c r="C507" s="4" t="s">
        <v>487</v>
      </c>
      <c r="D507" s="4" t="s">
        <v>97</v>
      </c>
      <c r="E507" s="4" t="s">
        <v>487</v>
      </c>
      <c r="F507" s="29"/>
    </row>
    <row r="508" spans="1:6" x14ac:dyDescent="0.25">
      <c r="A508" t="s">
        <v>483</v>
      </c>
      <c r="B508" t="s">
        <v>51</v>
      </c>
      <c r="C508" s="4">
        <v>7</v>
      </c>
      <c r="D508" s="4" t="s">
        <v>369</v>
      </c>
      <c r="E508" s="4" t="s">
        <v>487</v>
      </c>
      <c r="F508" s="29">
        <v>0.2</v>
      </c>
    </row>
    <row r="509" spans="1:6" x14ac:dyDescent="0.25">
      <c r="A509" t="s">
        <v>483</v>
      </c>
      <c r="B509" t="s">
        <v>51</v>
      </c>
      <c r="C509" s="4" t="s">
        <v>487</v>
      </c>
      <c r="D509" s="4" t="s">
        <v>90</v>
      </c>
      <c r="E509" s="4" t="s">
        <v>36</v>
      </c>
      <c r="F509" s="29"/>
    </row>
    <row r="510" spans="1:6" x14ac:dyDescent="0.25">
      <c r="A510" t="s">
        <v>483</v>
      </c>
      <c r="B510" t="s">
        <v>51</v>
      </c>
      <c r="C510" s="4" t="s">
        <v>487</v>
      </c>
      <c r="D510" s="4" t="s">
        <v>131</v>
      </c>
      <c r="E510" s="4" t="s">
        <v>487</v>
      </c>
      <c r="F510" s="29"/>
    </row>
    <row r="511" spans="1:6" x14ac:dyDescent="0.25">
      <c r="A511" t="s">
        <v>483</v>
      </c>
      <c r="B511" t="s">
        <v>51</v>
      </c>
      <c r="C511" s="4" t="s">
        <v>487</v>
      </c>
      <c r="D511" s="4" t="s">
        <v>156</v>
      </c>
      <c r="E511" s="4" t="s">
        <v>487</v>
      </c>
      <c r="F511" s="29"/>
    </row>
    <row r="512" spans="1:6" x14ac:dyDescent="0.25">
      <c r="A512" t="s">
        <v>483</v>
      </c>
      <c r="B512" t="s">
        <v>51</v>
      </c>
      <c r="C512" s="4" t="s">
        <v>487</v>
      </c>
      <c r="D512" s="4" t="s">
        <v>126</v>
      </c>
      <c r="E512" s="4" t="s">
        <v>487</v>
      </c>
      <c r="F512" s="29"/>
    </row>
    <row r="513" spans="1:6" x14ac:dyDescent="0.25">
      <c r="A513" t="s">
        <v>483</v>
      </c>
      <c r="B513" t="s">
        <v>51</v>
      </c>
      <c r="C513" s="4">
        <v>8</v>
      </c>
      <c r="D513" s="4" t="s">
        <v>370</v>
      </c>
      <c r="E513" s="4" t="s">
        <v>487</v>
      </c>
      <c r="F513" s="29">
        <v>0.2</v>
      </c>
    </row>
    <row r="514" spans="1:6" x14ac:dyDescent="0.25">
      <c r="A514" t="s">
        <v>483</v>
      </c>
      <c r="B514" t="s">
        <v>51</v>
      </c>
      <c r="C514" s="4" t="s">
        <v>487</v>
      </c>
      <c r="D514" s="4" t="s">
        <v>195</v>
      </c>
      <c r="E514" s="4" t="s">
        <v>36</v>
      </c>
      <c r="F514" s="29"/>
    </row>
    <row r="515" spans="1:6" x14ac:dyDescent="0.25">
      <c r="A515" t="s">
        <v>483</v>
      </c>
      <c r="B515" t="s">
        <v>51</v>
      </c>
      <c r="C515" s="4" t="s">
        <v>487</v>
      </c>
      <c r="D515" s="4" t="s">
        <v>131</v>
      </c>
      <c r="E515" s="4" t="s">
        <v>487</v>
      </c>
      <c r="F515" s="29"/>
    </row>
    <row r="516" spans="1:6" x14ac:dyDescent="0.25">
      <c r="A516" t="s">
        <v>483</v>
      </c>
      <c r="B516" t="s">
        <v>51</v>
      </c>
      <c r="C516" s="4" t="s">
        <v>487</v>
      </c>
      <c r="D516" s="4" t="s">
        <v>96</v>
      </c>
      <c r="E516" s="4" t="s">
        <v>487</v>
      </c>
      <c r="F516" s="29"/>
    </row>
    <row r="517" spans="1:6" x14ac:dyDescent="0.25">
      <c r="A517" t="s">
        <v>483</v>
      </c>
      <c r="B517" t="s">
        <v>51</v>
      </c>
      <c r="C517" s="4" t="s">
        <v>487</v>
      </c>
      <c r="D517" s="4" t="s">
        <v>192</v>
      </c>
      <c r="E517" s="4" t="s">
        <v>487</v>
      </c>
      <c r="F517" s="29"/>
    </row>
    <row r="518" spans="1:6" x14ac:dyDescent="0.25">
      <c r="A518" t="s">
        <v>483</v>
      </c>
      <c r="B518" t="s">
        <v>51</v>
      </c>
      <c r="C518" s="4">
        <v>9</v>
      </c>
      <c r="D518" s="4" t="s">
        <v>371</v>
      </c>
      <c r="E518" s="4" t="s">
        <v>487</v>
      </c>
      <c r="F518" s="29">
        <v>0.2</v>
      </c>
    </row>
    <row r="519" spans="1:6" x14ac:dyDescent="0.25">
      <c r="A519" t="s">
        <v>483</v>
      </c>
      <c r="B519" t="s">
        <v>51</v>
      </c>
      <c r="C519" s="4" t="s">
        <v>487</v>
      </c>
      <c r="D519" s="4" t="s">
        <v>194</v>
      </c>
      <c r="E519" s="4" t="s">
        <v>36</v>
      </c>
      <c r="F519" s="29"/>
    </row>
    <row r="520" spans="1:6" x14ac:dyDescent="0.25">
      <c r="A520" t="s">
        <v>483</v>
      </c>
      <c r="B520" t="s">
        <v>51</v>
      </c>
      <c r="C520" s="4" t="s">
        <v>487</v>
      </c>
      <c r="D520" s="4" t="s">
        <v>192</v>
      </c>
      <c r="E520" s="4" t="s">
        <v>487</v>
      </c>
      <c r="F520" s="29"/>
    </row>
    <row r="521" spans="1:6" x14ac:dyDescent="0.25">
      <c r="A521" t="s">
        <v>483</v>
      </c>
      <c r="B521" t="s">
        <v>51</v>
      </c>
      <c r="C521" s="4" t="s">
        <v>487</v>
      </c>
      <c r="D521" s="4" t="s">
        <v>193</v>
      </c>
      <c r="E521" s="4" t="s">
        <v>487</v>
      </c>
      <c r="F521" s="29"/>
    </row>
    <row r="522" spans="1:6" x14ac:dyDescent="0.25">
      <c r="A522" t="s">
        <v>483</v>
      </c>
      <c r="B522" t="s">
        <v>51</v>
      </c>
      <c r="C522" s="4" t="s">
        <v>487</v>
      </c>
      <c r="D522" s="4" t="s">
        <v>96</v>
      </c>
      <c r="E522" s="4" t="s">
        <v>487</v>
      </c>
      <c r="F522" s="29"/>
    </row>
    <row r="523" spans="1:6" x14ac:dyDescent="0.25">
      <c r="A523" t="s">
        <v>483</v>
      </c>
      <c r="B523" t="s">
        <v>51</v>
      </c>
      <c r="C523" s="4">
        <v>10</v>
      </c>
      <c r="D523" s="4" t="s">
        <v>372</v>
      </c>
      <c r="E523" s="4" t="s">
        <v>487</v>
      </c>
      <c r="F523" s="29">
        <v>0.2</v>
      </c>
    </row>
    <row r="524" spans="1:6" x14ac:dyDescent="0.25">
      <c r="A524" t="s">
        <v>483</v>
      </c>
      <c r="B524" t="s">
        <v>51</v>
      </c>
      <c r="C524" s="4" t="s">
        <v>487</v>
      </c>
      <c r="D524" s="4" t="s">
        <v>106</v>
      </c>
      <c r="E524" s="4" t="s">
        <v>36</v>
      </c>
      <c r="F524" s="29"/>
    </row>
    <row r="525" spans="1:6" x14ac:dyDescent="0.25">
      <c r="A525" t="s">
        <v>483</v>
      </c>
      <c r="B525" t="s">
        <v>51</v>
      </c>
      <c r="C525" s="4" t="s">
        <v>487</v>
      </c>
      <c r="D525" s="4" t="s">
        <v>131</v>
      </c>
      <c r="E525" s="4" t="s">
        <v>487</v>
      </c>
      <c r="F525" s="29"/>
    </row>
    <row r="526" spans="1:6" x14ac:dyDescent="0.25">
      <c r="A526" t="s">
        <v>483</v>
      </c>
      <c r="B526" t="s">
        <v>51</v>
      </c>
      <c r="C526" s="4" t="s">
        <v>487</v>
      </c>
      <c r="D526" s="4" t="s">
        <v>127</v>
      </c>
      <c r="E526" s="4" t="s">
        <v>487</v>
      </c>
      <c r="F526" s="29"/>
    </row>
    <row r="527" spans="1:6" x14ac:dyDescent="0.25">
      <c r="A527" t="s">
        <v>483</v>
      </c>
      <c r="B527" t="s">
        <v>51</v>
      </c>
      <c r="C527" s="4" t="s">
        <v>487</v>
      </c>
      <c r="D527" s="4" t="s">
        <v>155</v>
      </c>
      <c r="E527" s="4" t="s">
        <v>487</v>
      </c>
      <c r="F527" s="29"/>
    </row>
    <row r="528" spans="1:6" x14ac:dyDescent="0.25">
      <c r="A528" t="s">
        <v>483</v>
      </c>
      <c r="B528" t="s">
        <v>51</v>
      </c>
      <c r="C528" s="4">
        <v>11</v>
      </c>
      <c r="D528" s="4" t="s">
        <v>373</v>
      </c>
      <c r="E528" s="4" t="s">
        <v>487</v>
      </c>
      <c r="F528" s="29">
        <v>0.2</v>
      </c>
    </row>
    <row r="529" spans="1:6" x14ac:dyDescent="0.25">
      <c r="A529" t="s">
        <v>483</v>
      </c>
      <c r="B529" t="s">
        <v>51</v>
      </c>
      <c r="C529" s="4" t="s">
        <v>487</v>
      </c>
      <c r="D529" s="4" t="s">
        <v>173</v>
      </c>
      <c r="E529" s="4" t="s">
        <v>36</v>
      </c>
      <c r="F529" s="29"/>
    </row>
    <row r="530" spans="1:6" x14ac:dyDescent="0.25">
      <c r="A530" t="s">
        <v>483</v>
      </c>
      <c r="B530" t="s">
        <v>51</v>
      </c>
      <c r="C530" s="4" t="s">
        <v>487</v>
      </c>
      <c r="D530" s="4" t="s">
        <v>127</v>
      </c>
      <c r="E530" s="4" t="s">
        <v>487</v>
      </c>
      <c r="F530" s="29"/>
    </row>
    <row r="531" spans="1:6" x14ac:dyDescent="0.25">
      <c r="A531" t="s">
        <v>483</v>
      </c>
      <c r="B531" t="s">
        <v>51</v>
      </c>
      <c r="C531" s="4" t="s">
        <v>487</v>
      </c>
      <c r="D531" s="4" t="s">
        <v>96</v>
      </c>
      <c r="E531" s="4" t="s">
        <v>487</v>
      </c>
      <c r="F531" s="29"/>
    </row>
    <row r="532" spans="1:6" x14ac:dyDescent="0.25">
      <c r="A532" t="s">
        <v>483</v>
      </c>
      <c r="B532" t="s">
        <v>51</v>
      </c>
      <c r="C532" s="4" t="s">
        <v>487</v>
      </c>
      <c r="D532" s="4" t="s">
        <v>174</v>
      </c>
      <c r="E532" s="4" t="s">
        <v>487</v>
      </c>
      <c r="F532" s="29"/>
    </row>
    <row r="533" spans="1:6" x14ac:dyDescent="0.25">
      <c r="A533" t="s">
        <v>483</v>
      </c>
      <c r="B533" t="s">
        <v>51</v>
      </c>
      <c r="C533" s="4">
        <v>12</v>
      </c>
      <c r="D533" s="4" t="s">
        <v>374</v>
      </c>
      <c r="E533" s="4" t="s">
        <v>487</v>
      </c>
      <c r="F533" s="29">
        <v>0.2</v>
      </c>
    </row>
    <row r="534" spans="1:6" x14ac:dyDescent="0.25">
      <c r="A534" t="s">
        <v>483</v>
      </c>
      <c r="B534" t="s">
        <v>51</v>
      </c>
      <c r="C534" s="4" t="s">
        <v>487</v>
      </c>
      <c r="D534" s="4" t="s">
        <v>195</v>
      </c>
      <c r="E534" s="4" t="s">
        <v>487</v>
      </c>
      <c r="F534" s="29"/>
    </row>
    <row r="535" spans="1:6" x14ac:dyDescent="0.25">
      <c r="A535" t="s">
        <v>483</v>
      </c>
      <c r="B535" t="s">
        <v>51</v>
      </c>
      <c r="C535" s="4" t="s">
        <v>487</v>
      </c>
      <c r="D535" s="4" t="s">
        <v>208</v>
      </c>
      <c r="E535" s="4" t="s">
        <v>487</v>
      </c>
      <c r="F535" s="29"/>
    </row>
    <row r="536" spans="1:6" x14ac:dyDescent="0.25">
      <c r="A536" t="s">
        <v>483</v>
      </c>
      <c r="B536" t="s">
        <v>51</v>
      </c>
      <c r="C536" s="4" t="s">
        <v>487</v>
      </c>
      <c r="D536" s="4" t="s">
        <v>209</v>
      </c>
      <c r="E536" s="4" t="s">
        <v>17</v>
      </c>
      <c r="F536" s="29"/>
    </row>
    <row r="537" spans="1:6" x14ac:dyDescent="0.25">
      <c r="A537" t="s">
        <v>483</v>
      </c>
      <c r="B537" t="s">
        <v>51</v>
      </c>
      <c r="C537" s="4" t="s">
        <v>487</v>
      </c>
      <c r="D537" s="4" t="s">
        <v>137</v>
      </c>
      <c r="E537" s="4" t="s">
        <v>487</v>
      </c>
      <c r="F537" s="29"/>
    </row>
    <row r="538" spans="1:6" x14ac:dyDescent="0.25">
      <c r="A538" t="s">
        <v>483</v>
      </c>
      <c r="B538" t="s">
        <v>51</v>
      </c>
      <c r="C538" s="4">
        <v>13</v>
      </c>
      <c r="D538" s="4" t="s">
        <v>319</v>
      </c>
      <c r="E538" s="4" t="s">
        <v>487</v>
      </c>
      <c r="F538" s="29">
        <v>0.2</v>
      </c>
    </row>
    <row r="539" spans="1:6" x14ac:dyDescent="0.25">
      <c r="A539" t="s">
        <v>483</v>
      </c>
      <c r="B539" t="s">
        <v>51</v>
      </c>
      <c r="C539" s="4" t="s">
        <v>487</v>
      </c>
      <c r="D539" s="4" t="s">
        <v>316</v>
      </c>
      <c r="E539" s="4" t="s">
        <v>487</v>
      </c>
      <c r="F539" s="29"/>
    </row>
    <row r="540" spans="1:6" x14ac:dyDescent="0.25">
      <c r="A540" t="s">
        <v>483</v>
      </c>
      <c r="B540" t="s">
        <v>51</v>
      </c>
      <c r="C540" s="4" t="s">
        <v>487</v>
      </c>
      <c r="D540" s="4" t="s">
        <v>320</v>
      </c>
      <c r="E540" s="4" t="s">
        <v>9</v>
      </c>
      <c r="F540" s="29"/>
    </row>
    <row r="541" spans="1:6" x14ac:dyDescent="0.25">
      <c r="A541" t="s">
        <v>483</v>
      </c>
      <c r="B541" t="s">
        <v>51</v>
      </c>
      <c r="C541" s="4" t="s">
        <v>487</v>
      </c>
      <c r="D541" s="4" t="s">
        <v>321</v>
      </c>
      <c r="E541" s="4" t="s">
        <v>487</v>
      </c>
      <c r="F541" s="29"/>
    </row>
    <row r="542" spans="1:6" x14ac:dyDescent="0.25">
      <c r="A542" t="s">
        <v>483</v>
      </c>
      <c r="B542" t="s">
        <v>51</v>
      </c>
      <c r="C542" s="4" t="s">
        <v>487</v>
      </c>
      <c r="D542" s="4" t="s">
        <v>318</v>
      </c>
      <c r="E542" s="4" t="s">
        <v>487</v>
      </c>
      <c r="F542" s="29"/>
    </row>
    <row r="543" spans="1:6" x14ac:dyDescent="0.25">
      <c r="A543" t="s">
        <v>483</v>
      </c>
      <c r="B543" t="s">
        <v>51</v>
      </c>
      <c r="C543" s="4">
        <v>14</v>
      </c>
      <c r="D543" s="4" t="s">
        <v>376</v>
      </c>
      <c r="E543" s="4" t="s">
        <v>487</v>
      </c>
      <c r="F543" s="29">
        <v>0.2</v>
      </c>
    </row>
    <row r="544" spans="1:6" x14ac:dyDescent="0.25">
      <c r="A544" t="s">
        <v>483</v>
      </c>
      <c r="B544" t="s">
        <v>51</v>
      </c>
      <c r="C544" s="4" t="s">
        <v>487</v>
      </c>
      <c r="D544" s="4" t="s">
        <v>205</v>
      </c>
      <c r="E544" s="4" t="s">
        <v>487</v>
      </c>
      <c r="F544" s="29"/>
    </row>
    <row r="545" spans="1:6" x14ac:dyDescent="0.25">
      <c r="A545" t="s">
        <v>483</v>
      </c>
      <c r="B545" t="s">
        <v>51</v>
      </c>
      <c r="C545" s="4" t="s">
        <v>487</v>
      </c>
      <c r="D545" s="4" t="s">
        <v>185</v>
      </c>
      <c r="E545" s="4" t="s">
        <v>487</v>
      </c>
      <c r="F545" s="29"/>
    </row>
    <row r="546" spans="1:6" x14ac:dyDescent="0.25">
      <c r="A546" t="s">
        <v>483</v>
      </c>
      <c r="B546" t="s">
        <v>51</v>
      </c>
      <c r="C546" s="4" t="s">
        <v>487</v>
      </c>
      <c r="D546" s="4" t="s">
        <v>155</v>
      </c>
      <c r="E546" s="4" t="s">
        <v>36</v>
      </c>
      <c r="F546" s="29"/>
    </row>
    <row r="547" spans="1:6" x14ac:dyDescent="0.25">
      <c r="A547" t="s">
        <v>483</v>
      </c>
      <c r="B547" t="s">
        <v>51</v>
      </c>
      <c r="C547" s="4" t="s">
        <v>487</v>
      </c>
      <c r="D547" s="4" t="s">
        <v>206</v>
      </c>
      <c r="E547" s="4" t="s">
        <v>487</v>
      </c>
      <c r="F547" s="29"/>
    </row>
    <row r="548" spans="1:6" x14ac:dyDescent="0.25">
      <c r="A548" t="s">
        <v>483</v>
      </c>
      <c r="B548" t="s">
        <v>51</v>
      </c>
      <c r="C548" s="4">
        <v>15</v>
      </c>
      <c r="D548" s="4" t="s">
        <v>377</v>
      </c>
      <c r="E548" s="4" t="s">
        <v>487</v>
      </c>
      <c r="F548" s="29">
        <v>0.2</v>
      </c>
    </row>
    <row r="549" spans="1:6" x14ac:dyDescent="0.25">
      <c r="A549" t="s">
        <v>483</v>
      </c>
      <c r="B549" t="s">
        <v>51</v>
      </c>
      <c r="C549" s="4" t="s">
        <v>487</v>
      </c>
      <c r="D549" s="4" t="s">
        <v>105</v>
      </c>
      <c r="E549" s="4" t="s">
        <v>36</v>
      </c>
      <c r="F549" s="29"/>
    </row>
    <row r="550" spans="1:6" x14ac:dyDescent="0.25">
      <c r="A550" t="s">
        <v>483</v>
      </c>
      <c r="B550" t="s">
        <v>51</v>
      </c>
      <c r="C550" s="4" t="s">
        <v>487</v>
      </c>
      <c r="D550" s="4" t="s">
        <v>96</v>
      </c>
      <c r="E550" s="4" t="s">
        <v>487</v>
      </c>
      <c r="F550" s="29"/>
    </row>
    <row r="551" spans="1:6" x14ac:dyDescent="0.25">
      <c r="A551" t="s">
        <v>483</v>
      </c>
      <c r="B551" t="s">
        <v>51</v>
      </c>
      <c r="C551" s="4" t="s">
        <v>487</v>
      </c>
      <c r="D551" s="4" t="s">
        <v>131</v>
      </c>
      <c r="E551" s="4" t="s">
        <v>487</v>
      </c>
      <c r="F551" s="29"/>
    </row>
    <row r="552" spans="1:6" x14ac:dyDescent="0.25">
      <c r="A552" t="s">
        <v>483</v>
      </c>
      <c r="B552" t="s">
        <v>51</v>
      </c>
      <c r="C552" s="4" t="s">
        <v>487</v>
      </c>
      <c r="D552" s="4" t="s">
        <v>127</v>
      </c>
      <c r="E552" s="4" t="s">
        <v>487</v>
      </c>
      <c r="F552" s="29"/>
    </row>
    <row r="553" spans="1:6" x14ac:dyDescent="0.25">
      <c r="A553" t="s">
        <v>483</v>
      </c>
      <c r="B553" t="s">
        <v>51</v>
      </c>
      <c r="C553" s="4">
        <v>16</v>
      </c>
      <c r="D553" s="4" t="s">
        <v>378</v>
      </c>
      <c r="E553" s="4" t="s">
        <v>487</v>
      </c>
      <c r="F553" s="29">
        <v>0.2</v>
      </c>
    </row>
    <row r="554" spans="1:6" x14ac:dyDescent="0.25">
      <c r="A554" t="s">
        <v>483</v>
      </c>
      <c r="B554" t="s">
        <v>51</v>
      </c>
      <c r="C554" s="4" t="s">
        <v>487</v>
      </c>
      <c r="D554" s="4" t="s">
        <v>311</v>
      </c>
      <c r="E554" s="4" t="s">
        <v>36</v>
      </c>
      <c r="F554" s="29"/>
    </row>
    <row r="555" spans="1:6" x14ac:dyDescent="0.25">
      <c r="A555" t="s">
        <v>483</v>
      </c>
      <c r="B555" t="s">
        <v>51</v>
      </c>
      <c r="C555" s="4" t="s">
        <v>487</v>
      </c>
      <c r="D555" s="4" t="s">
        <v>19</v>
      </c>
      <c r="E555" s="4" t="s">
        <v>487</v>
      </c>
      <c r="F555" s="29"/>
    </row>
    <row r="556" spans="1:6" x14ac:dyDescent="0.25">
      <c r="A556" t="s">
        <v>483</v>
      </c>
      <c r="B556" t="s">
        <v>51</v>
      </c>
      <c r="C556" s="4" t="s">
        <v>487</v>
      </c>
      <c r="D556" s="4" t="s">
        <v>312</v>
      </c>
      <c r="E556" s="4" t="s">
        <v>487</v>
      </c>
      <c r="F556" s="29"/>
    </row>
    <row r="557" spans="1:6" x14ac:dyDescent="0.25">
      <c r="A557" t="s">
        <v>483</v>
      </c>
      <c r="B557" t="s">
        <v>51</v>
      </c>
      <c r="C557" s="4" t="s">
        <v>487</v>
      </c>
      <c r="D557" s="4" t="s">
        <v>313</v>
      </c>
      <c r="E557" s="4" t="s">
        <v>487</v>
      </c>
      <c r="F557" s="29"/>
    </row>
    <row r="558" spans="1:6" x14ac:dyDescent="0.25">
      <c r="A558" t="s">
        <v>483</v>
      </c>
      <c r="B558" t="s">
        <v>51</v>
      </c>
      <c r="C558" s="4">
        <v>17</v>
      </c>
      <c r="D558" s="4" t="s">
        <v>379</v>
      </c>
      <c r="E558" s="4" t="s">
        <v>487</v>
      </c>
      <c r="F558" s="29">
        <v>0.2</v>
      </c>
    </row>
    <row r="559" spans="1:6" x14ac:dyDescent="0.25">
      <c r="A559" t="s">
        <v>483</v>
      </c>
      <c r="B559" t="s">
        <v>51</v>
      </c>
      <c r="C559" s="4" t="s">
        <v>487</v>
      </c>
      <c r="D559" s="4" t="s">
        <v>183</v>
      </c>
      <c r="E559" s="4" t="s">
        <v>36</v>
      </c>
      <c r="F559" s="29"/>
    </row>
    <row r="560" spans="1:6" x14ac:dyDescent="0.25">
      <c r="A560" t="s">
        <v>483</v>
      </c>
      <c r="B560" t="s">
        <v>51</v>
      </c>
      <c r="C560" s="4" t="s">
        <v>487</v>
      </c>
      <c r="D560" s="4" t="s">
        <v>184</v>
      </c>
      <c r="E560" s="4" t="s">
        <v>487</v>
      </c>
      <c r="F560" s="29"/>
    </row>
    <row r="561" spans="1:6" x14ac:dyDescent="0.25">
      <c r="A561" t="s">
        <v>483</v>
      </c>
      <c r="B561" t="s">
        <v>51</v>
      </c>
      <c r="C561" s="4" t="s">
        <v>487</v>
      </c>
      <c r="D561" s="4" t="s">
        <v>185</v>
      </c>
      <c r="E561" s="4" t="s">
        <v>487</v>
      </c>
      <c r="F561" s="29"/>
    </row>
    <row r="562" spans="1:6" x14ac:dyDescent="0.25">
      <c r="A562" t="s">
        <v>483</v>
      </c>
      <c r="B562" t="s">
        <v>51</v>
      </c>
      <c r="C562" s="4" t="s">
        <v>487</v>
      </c>
      <c r="D562" s="4" t="s">
        <v>178</v>
      </c>
      <c r="E562" s="4" t="s">
        <v>487</v>
      </c>
      <c r="F562" s="29"/>
    </row>
    <row r="563" spans="1:6" x14ac:dyDescent="0.25">
      <c r="A563" t="s">
        <v>483</v>
      </c>
      <c r="B563" t="s">
        <v>51</v>
      </c>
      <c r="C563" s="4">
        <v>18</v>
      </c>
      <c r="D563" s="4" t="s">
        <v>366</v>
      </c>
      <c r="E563" s="4" t="s">
        <v>487</v>
      </c>
      <c r="F563" s="29">
        <v>0.2</v>
      </c>
    </row>
    <row r="564" spans="1:6" x14ac:dyDescent="0.25">
      <c r="A564" t="s">
        <v>483</v>
      </c>
      <c r="B564" t="s">
        <v>51</v>
      </c>
      <c r="C564" s="4" t="s">
        <v>487</v>
      </c>
      <c r="D564" s="4" t="s">
        <v>203</v>
      </c>
      <c r="E564" s="4" t="s">
        <v>487</v>
      </c>
      <c r="F564" s="29"/>
    </row>
    <row r="565" spans="1:6" x14ac:dyDescent="0.25">
      <c r="A565" t="s">
        <v>483</v>
      </c>
      <c r="B565" t="s">
        <v>51</v>
      </c>
      <c r="C565" s="4" t="s">
        <v>487</v>
      </c>
      <c r="D565" s="4" t="s">
        <v>202</v>
      </c>
      <c r="E565" s="4" t="s">
        <v>487</v>
      </c>
      <c r="F565" s="29"/>
    </row>
    <row r="566" spans="1:6" x14ac:dyDescent="0.25">
      <c r="A566" t="s">
        <v>483</v>
      </c>
      <c r="B566" t="s">
        <v>51</v>
      </c>
      <c r="C566" s="4" t="s">
        <v>487</v>
      </c>
      <c r="D566" s="4" t="s">
        <v>201</v>
      </c>
      <c r="E566" s="4" t="s">
        <v>17</v>
      </c>
      <c r="F566" s="29"/>
    </row>
    <row r="567" spans="1:6" x14ac:dyDescent="0.25">
      <c r="A567" t="s">
        <v>483</v>
      </c>
      <c r="B567" t="s">
        <v>51</v>
      </c>
      <c r="C567" s="4" t="s">
        <v>487</v>
      </c>
      <c r="D567" s="4" t="s">
        <v>204</v>
      </c>
      <c r="E567" s="4" t="s">
        <v>487</v>
      </c>
      <c r="F567" s="29"/>
    </row>
    <row r="568" spans="1:6" x14ac:dyDescent="0.25">
      <c r="A568" t="s">
        <v>483</v>
      </c>
      <c r="B568" t="s">
        <v>51</v>
      </c>
      <c r="C568" s="4">
        <v>19</v>
      </c>
      <c r="D568" s="4" t="s">
        <v>395</v>
      </c>
      <c r="E568" s="4" t="s">
        <v>487</v>
      </c>
      <c r="F568" s="29">
        <v>0.2</v>
      </c>
    </row>
    <row r="569" spans="1:6" x14ac:dyDescent="0.25">
      <c r="A569" t="s">
        <v>483</v>
      </c>
      <c r="B569" t="s">
        <v>51</v>
      </c>
      <c r="C569" s="4" t="s">
        <v>487</v>
      </c>
      <c r="D569" s="4" t="s">
        <v>397</v>
      </c>
      <c r="E569" s="4" t="s">
        <v>36</v>
      </c>
      <c r="F569" s="29"/>
    </row>
    <row r="570" spans="1:6" x14ac:dyDescent="0.25">
      <c r="A570" t="s">
        <v>483</v>
      </c>
      <c r="B570" t="s">
        <v>51</v>
      </c>
      <c r="C570" s="4" t="s">
        <v>487</v>
      </c>
      <c r="D570" s="4" t="s">
        <v>396</v>
      </c>
      <c r="E570" s="4" t="s">
        <v>487</v>
      </c>
      <c r="F570" s="29"/>
    </row>
    <row r="571" spans="1:6" x14ac:dyDescent="0.25">
      <c r="A571" t="s">
        <v>483</v>
      </c>
      <c r="B571" t="s">
        <v>51</v>
      </c>
      <c r="C571" s="4" t="s">
        <v>487</v>
      </c>
      <c r="D571" s="4" t="s">
        <v>398</v>
      </c>
      <c r="E571" s="4" t="s">
        <v>487</v>
      </c>
      <c r="F571" s="29"/>
    </row>
    <row r="572" spans="1:6" x14ac:dyDescent="0.25">
      <c r="A572" t="s">
        <v>483</v>
      </c>
      <c r="B572" t="s">
        <v>51</v>
      </c>
      <c r="C572" s="4" t="s">
        <v>487</v>
      </c>
      <c r="D572" s="4" t="s">
        <v>399</v>
      </c>
      <c r="E572" s="4" t="s">
        <v>487</v>
      </c>
      <c r="F572" s="29"/>
    </row>
    <row r="573" spans="1:6" x14ac:dyDescent="0.25">
      <c r="A573" t="s">
        <v>483</v>
      </c>
      <c r="B573" t="s">
        <v>51</v>
      </c>
      <c r="C573" s="4">
        <v>20</v>
      </c>
      <c r="D573" s="4" t="s">
        <v>380</v>
      </c>
      <c r="E573" s="4" t="s">
        <v>487</v>
      </c>
      <c r="F573" s="29">
        <v>0.2</v>
      </c>
    </row>
    <row r="574" spans="1:6" x14ac:dyDescent="0.25">
      <c r="A574" t="s">
        <v>483</v>
      </c>
      <c r="B574" t="s">
        <v>51</v>
      </c>
      <c r="C574" s="4" t="s">
        <v>487</v>
      </c>
      <c r="D574" s="4" t="s">
        <v>137</v>
      </c>
      <c r="E574" s="4" t="s">
        <v>487</v>
      </c>
      <c r="F574" s="29"/>
    </row>
    <row r="575" spans="1:6" x14ac:dyDescent="0.25">
      <c r="A575" t="s">
        <v>483</v>
      </c>
      <c r="B575" t="s">
        <v>51</v>
      </c>
      <c r="C575" s="4" t="s">
        <v>487</v>
      </c>
      <c r="D575" s="4" t="s">
        <v>199</v>
      </c>
      <c r="E575" s="4" t="s">
        <v>9</v>
      </c>
      <c r="F575" s="29"/>
    </row>
    <row r="576" spans="1:6" x14ac:dyDescent="0.25">
      <c r="A576" t="s">
        <v>483</v>
      </c>
      <c r="B576" t="s">
        <v>51</v>
      </c>
      <c r="C576" s="4" t="s">
        <v>487</v>
      </c>
      <c r="D576" s="4" t="s">
        <v>198</v>
      </c>
      <c r="E576" s="4" t="s">
        <v>487</v>
      </c>
      <c r="F576" s="29"/>
    </row>
    <row r="577" spans="1:6" x14ac:dyDescent="0.25">
      <c r="A577" t="s">
        <v>483</v>
      </c>
      <c r="B577" t="s">
        <v>51</v>
      </c>
      <c r="C577" s="4" t="s">
        <v>487</v>
      </c>
      <c r="D577" s="4" t="s">
        <v>195</v>
      </c>
      <c r="E577" s="4" t="s">
        <v>487</v>
      </c>
      <c r="F577" s="29"/>
    </row>
    <row r="578" spans="1:6" x14ac:dyDescent="0.25">
      <c r="A578" t="s">
        <v>483</v>
      </c>
      <c r="B578" t="s">
        <v>51</v>
      </c>
      <c r="C578" s="4">
        <v>21</v>
      </c>
      <c r="D578" s="4" t="s">
        <v>384</v>
      </c>
      <c r="E578" s="4" t="s">
        <v>487</v>
      </c>
      <c r="F578" s="29">
        <v>0.2</v>
      </c>
    </row>
    <row r="579" spans="1:6" x14ac:dyDescent="0.25">
      <c r="A579" t="s">
        <v>483</v>
      </c>
      <c r="B579" t="s">
        <v>51</v>
      </c>
      <c r="C579" s="4" t="s">
        <v>487</v>
      </c>
      <c r="D579" s="4" t="s">
        <v>211</v>
      </c>
      <c r="E579" s="4" t="s">
        <v>36</v>
      </c>
      <c r="F579" s="29"/>
    </row>
    <row r="580" spans="1:6" x14ac:dyDescent="0.25">
      <c r="A580" t="s">
        <v>483</v>
      </c>
      <c r="B580" t="s">
        <v>51</v>
      </c>
      <c r="C580" s="4" t="s">
        <v>487</v>
      </c>
      <c r="D580" s="4" t="s">
        <v>96</v>
      </c>
      <c r="E580" s="4" t="s">
        <v>487</v>
      </c>
      <c r="F580" s="29"/>
    </row>
    <row r="581" spans="1:6" x14ac:dyDescent="0.25">
      <c r="A581" t="s">
        <v>483</v>
      </c>
      <c r="B581" t="s">
        <v>51</v>
      </c>
      <c r="C581" s="4" t="s">
        <v>487</v>
      </c>
      <c r="D581" s="4" t="s">
        <v>131</v>
      </c>
      <c r="E581" s="4" t="s">
        <v>487</v>
      </c>
      <c r="F581" s="29"/>
    </row>
    <row r="582" spans="1:6" x14ac:dyDescent="0.25">
      <c r="A582" t="s">
        <v>483</v>
      </c>
      <c r="B582" t="s">
        <v>51</v>
      </c>
      <c r="C582" s="4" t="s">
        <v>487</v>
      </c>
      <c r="D582" s="4" t="s">
        <v>137</v>
      </c>
      <c r="E582" s="4" t="s">
        <v>487</v>
      </c>
      <c r="F582" s="29"/>
    </row>
    <row r="583" spans="1:6" x14ac:dyDescent="0.25">
      <c r="A583" t="s">
        <v>483</v>
      </c>
      <c r="B583" t="s">
        <v>51</v>
      </c>
      <c r="C583" s="4">
        <v>22</v>
      </c>
      <c r="D583" s="4" t="s">
        <v>381</v>
      </c>
      <c r="E583" s="4" t="s">
        <v>487</v>
      </c>
      <c r="F583" s="29">
        <v>0.2</v>
      </c>
    </row>
    <row r="584" spans="1:6" x14ac:dyDescent="0.25">
      <c r="A584" t="s">
        <v>483</v>
      </c>
      <c r="B584" t="s">
        <v>51</v>
      </c>
      <c r="C584" s="4" t="s">
        <v>487</v>
      </c>
      <c r="D584" s="4" t="s">
        <v>210</v>
      </c>
      <c r="E584" s="4" t="s">
        <v>36</v>
      </c>
      <c r="F584" s="29"/>
    </row>
    <row r="585" spans="1:6" x14ac:dyDescent="0.25">
      <c r="A585" t="s">
        <v>483</v>
      </c>
      <c r="B585" t="s">
        <v>51</v>
      </c>
      <c r="C585" s="4" t="s">
        <v>487</v>
      </c>
      <c r="D585" s="4" t="s">
        <v>96</v>
      </c>
      <c r="E585" s="4" t="s">
        <v>487</v>
      </c>
      <c r="F585" s="29"/>
    </row>
    <row r="586" spans="1:6" x14ac:dyDescent="0.25">
      <c r="A586" t="s">
        <v>483</v>
      </c>
      <c r="B586" t="s">
        <v>51</v>
      </c>
      <c r="C586" s="4" t="s">
        <v>487</v>
      </c>
      <c r="D586" s="4" t="s">
        <v>131</v>
      </c>
      <c r="E586" s="4" t="s">
        <v>487</v>
      </c>
      <c r="F586" s="29"/>
    </row>
    <row r="587" spans="1:6" x14ac:dyDescent="0.25">
      <c r="A587" t="s">
        <v>483</v>
      </c>
      <c r="B587" t="s">
        <v>51</v>
      </c>
      <c r="C587" s="4" t="s">
        <v>487</v>
      </c>
      <c r="D587" s="4" t="s">
        <v>137</v>
      </c>
      <c r="E587" s="4" t="s">
        <v>487</v>
      </c>
      <c r="F587" s="29"/>
    </row>
    <row r="588" spans="1:6" x14ac:dyDescent="0.25">
      <c r="A588" t="s">
        <v>483</v>
      </c>
      <c r="B588" t="s">
        <v>51</v>
      </c>
      <c r="C588" s="4">
        <v>23</v>
      </c>
      <c r="D588" s="4" t="s">
        <v>324</v>
      </c>
      <c r="E588" s="4" t="s">
        <v>487</v>
      </c>
      <c r="F588" s="29">
        <v>0.2</v>
      </c>
    </row>
    <row r="589" spans="1:6" x14ac:dyDescent="0.25">
      <c r="A589" t="s">
        <v>483</v>
      </c>
      <c r="B589" t="s">
        <v>51</v>
      </c>
      <c r="C589" s="4" t="s">
        <v>487</v>
      </c>
      <c r="D589" s="4" t="s">
        <v>260</v>
      </c>
      <c r="E589" s="4" t="s">
        <v>487</v>
      </c>
      <c r="F589" s="29"/>
    </row>
    <row r="590" spans="1:6" x14ac:dyDescent="0.25">
      <c r="A590" t="s">
        <v>483</v>
      </c>
      <c r="B590" t="s">
        <v>51</v>
      </c>
      <c r="C590" s="4" t="s">
        <v>487</v>
      </c>
      <c r="D590" s="4" t="s">
        <v>303</v>
      </c>
      <c r="E590" s="4" t="s">
        <v>487</v>
      </c>
      <c r="F590" s="29"/>
    </row>
    <row r="591" spans="1:6" x14ac:dyDescent="0.25">
      <c r="A591" t="s">
        <v>483</v>
      </c>
      <c r="B591" t="s">
        <v>51</v>
      </c>
      <c r="C591" s="4" t="s">
        <v>487</v>
      </c>
      <c r="D591" s="4" t="s">
        <v>304</v>
      </c>
      <c r="E591" s="4" t="s">
        <v>17</v>
      </c>
      <c r="F591" s="29"/>
    </row>
    <row r="592" spans="1:6" x14ac:dyDescent="0.25">
      <c r="A592" t="s">
        <v>483</v>
      </c>
      <c r="B592" t="s">
        <v>51</v>
      </c>
      <c r="C592" s="4" t="s">
        <v>487</v>
      </c>
      <c r="D592" s="4" t="s">
        <v>305</v>
      </c>
      <c r="E592" s="4" t="s">
        <v>487</v>
      </c>
      <c r="F592" s="29"/>
    </row>
    <row r="593" spans="1:6" x14ac:dyDescent="0.25">
      <c r="A593" t="s">
        <v>483</v>
      </c>
      <c r="B593" t="s">
        <v>51</v>
      </c>
      <c r="C593" s="4">
        <v>24</v>
      </c>
      <c r="D593" s="4" t="s">
        <v>307</v>
      </c>
      <c r="E593" s="4" t="s">
        <v>487</v>
      </c>
      <c r="F593" s="29">
        <v>0.2</v>
      </c>
    </row>
    <row r="594" spans="1:6" x14ac:dyDescent="0.25">
      <c r="A594" t="s">
        <v>483</v>
      </c>
      <c r="B594" t="s">
        <v>51</v>
      </c>
      <c r="C594" s="4" t="s">
        <v>487</v>
      </c>
      <c r="D594" s="4" t="s">
        <v>308</v>
      </c>
      <c r="E594" s="4" t="s">
        <v>36</v>
      </c>
      <c r="F594" s="29"/>
    </row>
    <row r="595" spans="1:6" x14ac:dyDescent="0.25">
      <c r="A595" t="s">
        <v>483</v>
      </c>
      <c r="B595" t="s">
        <v>51</v>
      </c>
      <c r="C595" s="4" t="s">
        <v>487</v>
      </c>
      <c r="D595" s="4" t="s">
        <v>140</v>
      </c>
      <c r="E595" s="4" t="s">
        <v>487</v>
      </c>
      <c r="F595" s="29"/>
    </row>
    <row r="596" spans="1:6" x14ac:dyDescent="0.25">
      <c r="A596" t="s">
        <v>483</v>
      </c>
      <c r="B596" t="s">
        <v>51</v>
      </c>
      <c r="C596" s="4" t="s">
        <v>487</v>
      </c>
      <c r="D596" s="4" t="s">
        <v>309</v>
      </c>
      <c r="E596" s="4" t="s">
        <v>487</v>
      </c>
      <c r="F596" s="29"/>
    </row>
    <row r="597" spans="1:6" x14ac:dyDescent="0.25">
      <c r="A597" t="s">
        <v>483</v>
      </c>
      <c r="B597" t="s">
        <v>51</v>
      </c>
      <c r="C597" s="4" t="s">
        <v>487</v>
      </c>
      <c r="D597" s="4" t="s">
        <v>310</v>
      </c>
      <c r="E597" s="4" t="s">
        <v>487</v>
      </c>
      <c r="F597" s="29"/>
    </row>
    <row r="598" spans="1:6" x14ac:dyDescent="0.25">
      <c r="A598" t="s">
        <v>483</v>
      </c>
      <c r="B598" t="s">
        <v>51</v>
      </c>
      <c r="C598" s="4">
        <v>25</v>
      </c>
      <c r="D598" s="4" t="s">
        <v>314</v>
      </c>
      <c r="E598" s="4" t="s">
        <v>487</v>
      </c>
      <c r="F598" s="29">
        <v>0.2</v>
      </c>
    </row>
    <row r="599" spans="1:6" x14ac:dyDescent="0.25">
      <c r="A599" t="s">
        <v>483</v>
      </c>
      <c r="B599" t="s">
        <v>51</v>
      </c>
      <c r="C599" s="4" t="s">
        <v>487</v>
      </c>
      <c r="D599" s="4" t="s">
        <v>316</v>
      </c>
      <c r="E599" s="4" t="s">
        <v>487</v>
      </c>
      <c r="F599" s="29"/>
    </row>
    <row r="600" spans="1:6" x14ac:dyDescent="0.25">
      <c r="A600" t="s">
        <v>483</v>
      </c>
      <c r="B600" t="s">
        <v>51</v>
      </c>
      <c r="C600" s="4" t="s">
        <v>487</v>
      </c>
      <c r="D600" s="4" t="s">
        <v>205</v>
      </c>
      <c r="E600" s="4" t="s">
        <v>487</v>
      </c>
      <c r="F600" s="29"/>
    </row>
    <row r="601" spans="1:6" x14ac:dyDescent="0.25">
      <c r="A601" t="s">
        <v>483</v>
      </c>
      <c r="B601" t="s">
        <v>51</v>
      </c>
      <c r="C601" s="4" t="s">
        <v>487</v>
      </c>
      <c r="D601" s="4" t="s">
        <v>304</v>
      </c>
      <c r="E601" s="4" t="s">
        <v>487</v>
      </c>
      <c r="F601" s="29"/>
    </row>
    <row r="602" spans="1:6" x14ac:dyDescent="0.25">
      <c r="A602" t="s">
        <v>483</v>
      </c>
      <c r="B602" t="s">
        <v>51</v>
      </c>
      <c r="C602" s="4" t="s">
        <v>487</v>
      </c>
      <c r="D602" s="4" t="s">
        <v>315</v>
      </c>
      <c r="E602" s="4" t="s">
        <v>67</v>
      </c>
      <c r="F602" s="29"/>
    </row>
    <row r="603" spans="1:6" x14ac:dyDescent="0.25">
      <c r="A603" t="s">
        <v>483</v>
      </c>
      <c r="B603" t="s">
        <v>51</v>
      </c>
      <c r="C603" s="4">
        <v>26</v>
      </c>
      <c r="D603" s="4" t="s">
        <v>306</v>
      </c>
      <c r="E603" s="4" t="s">
        <v>487</v>
      </c>
      <c r="F603" s="29">
        <v>0.2</v>
      </c>
    </row>
    <row r="604" spans="1:6" x14ac:dyDescent="0.25">
      <c r="A604" t="s">
        <v>483</v>
      </c>
      <c r="B604" t="s">
        <v>51</v>
      </c>
      <c r="C604" s="4" t="s">
        <v>487</v>
      </c>
      <c r="D604" s="4" t="s">
        <v>260</v>
      </c>
      <c r="E604" s="4" t="s">
        <v>487</v>
      </c>
      <c r="F604" s="29"/>
    </row>
    <row r="605" spans="1:6" x14ac:dyDescent="0.25">
      <c r="A605" t="s">
        <v>483</v>
      </c>
      <c r="B605" t="s">
        <v>51</v>
      </c>
      <c r="C605" s="4" t="s">
        <v>487</v>
      </c>
      <c r="D605" s="4" t="s">
        <v>303</v>
      </c>
      <c r="E605" s="4" t="s">
        <v>9</v>
      </c>
      <c r="F605" s="29"/>
    </row>
    <row r="606" spans="1:6" x14ac:dyDescent="0.25">
      <c r="A606" t="s">
        <v>483</v>
      </c>
      <c r="B606" t="s">
        <v>51</v>
      </c>
      <c r="C606" s="4" t="s">
        <v>487</v>
      </c>
      <c r="D606" s="4" t="s">
        <v>304</v>
      </c>
      <c r="E606" s="4" t="s">
        <v>487</v>
      </c>
      <c r="F606" s="29"/>
    </row>
    <row r="607" spans="1:6" x14ac:dyDescent="0.25">
      <c r="A607" t="s">
        <v>483</v>
      </c>
      <c r="B607" t="s">
        <v>51</v>
      </c>
      <c r="C607" s="4" t="s">
        <v>487</v>
      </c>
      <c r="D607" s="4" t="s">
        <v>305</v>
      </c>
      <c r="E607" s="4" t="s">
        <v>487</v>
      </c>
      <c r="F607" s="29"/>
    </row>
    <row r="608" spans="1:6" x14ac:dyDescent="0.25">
      <c r="A608" t="s">
        <v>483</v>
      </c>
      <c r="B608" t="s">
        <v>51</v>
      </c>
      <c r="C608" s="4">
        <v>27</v>
      </c>
      <c r="D608" s="4" t="s">
        <v>267</v>
      </c>
      <c r="E608" s="4" t="s">
        <v>487</v>
      </c>
      <c r="F608" s="29">
        <v>0.2</v>
      </c>
    </row>
    <row r="609" spans="1:6" x14ac:dyDescent="0.25">
      <c r="A609" t="s">
        <v>483</v>
      </c>
      <c r="B609" t="s">
        <v>51</v>
      </c>
      <c r="C609" s="4" t="s">
        <v>487</v>
      </c>
      <c r="D609" s="4" t="s">
        <v>123</v>
      </c>
      <c r="E609" s="4" t="s">
        <v>487</v>
      </c>
      <c r="F609" s="29"/>
    </row>
    <row r="610" spans="1:6" x14ac:dyDescent="0.25">
      <c r="A610" t="s">
        <v>483</v>
      </c>
      <c r="B610" t="s">
        <v>51</v>
      </c>
      <c r="C610" s="4" t="s">
        <v>487</v>
      </c>
      <c r="D610" s="4" t="s">
        <v>268</v>
      </c>
      <c r="E610" s="4" t="s">
        <v>9</v>
      </c>
      <c r="F610" s="29"/>
    </row>
    <row r="611" spans="1:6" x14ac:dyDescent="0.25">
      <c r="A611" t="s">
        <v>483</v>
      </c>
      <c r="B611" t="s">
        <v>51</v>
      </c>
      <c r="C611" s="4" t="s">
        <v>487</v>
      </c>
      <c r="D611" s="4" t="s">
        <v>269</v>
      </c>
      <c r="E611" s="4" t="s">
        <v>487</v>
      </c>
      <c r="F611" s="29"/>
    </row>
    <row r="612" spans="1:6" x14ac:dyDescent="0.25">
      <c r="A612" t="s">
        <v>483</v>
      </c>
      <c r="B612" t="s">
        <v>51</v>
      </c>
      <c r="C612" s="4" t="s">
        <v>487</v>
      </c>
      <c r="D612" s="4" t="s">
        <v>270</v>
      </c>
      <c r="E612" s="4" t="s">
        <v>487</v>
      </c>
      <c r="F612" s="29"/>
    </row>
    <row r="623" spans="1:6" x14ac:dyDescent="0.25">
      <c r="F623">
        <v>0.2</v>
      </c>
    </row>
    <row r="628" spans="6:6" x14ac:dyDescent="0.25">
      <c r="F628">
        <v>0.2</v>
      </c>
    </row>
    <row r="633" spans="6:6" x14ac:dyDescent="0.25">
      <c r="F633">
        <v>0.2</v>
      </c>
    </row>
    <row r="638" spans="6:6" x14ac:dyDescent="0.25">
      <c r="F638">
        <v>0.2</v>
      </c>
    </row>
    <row r="643" spans="6:6" x14ac:dyDescent="0.25">
      <c r="F64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Ngan_hang_cau_hoi</vt:lpstr>
      <vt:lpstr>form W</vt:lpstr>
      <vt:lpstr>CLC</vt:lpstr>
      <vt:lpstr>thường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2026-03-06T05:51:41Z</dcterms:created>
  <dcterms:modified xsi:type="dcterms:W3CDTF">2026-03-25T23:32:23Z</dcterms:modified>
</cp:coreProperties>
</file>